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Share\Корнеев\Прайсы_Сертификаты\Рива\01. ОПЕРАТИВНАЯ МЕБЕЛЬ\"/>
    </mc:Choice>
  </mc:AlternateContent>
  <xr:revisionPtr revIDLastSave="0" documentId="8_{D7013D5D-0500-402C-AE4C-8A150ED09D03}" xr6:coauthVersionLast="47" xr6:coauthVersionMax="47" xr10:uidLastSave="{00000000-0000-0000-0000-000000000000}"/>
  <bookViews>
    <workbookView xWindow="-120" yWindow="-120" windowWidth="29040" windowHeight="15840" tabRatio="933" xr2:uid="{00000000-000D-0000-FFFF-FFFF00000000}"/>
  </bookViews>
  <sheets>
    <sheet name="Столы, Тумбы" sheetId="1" r:id="rId1"/>
    <sheet name="Шкафы" sheetId="6" r:id="rId2"/>
    <sheet name="Аксессуары" sheetId="7" r:id="rId3"/>
    <sheet name="Ресепшн" sheetId="9" r:id="rId4"/>
    <sheet name="Ресепшен наборы" sheetId="10" r:id="rId5"/>
    <sheet name="Сборные элементы" sheetId="8" r:id="rId6"/>
    <sheet name="Таблица" sheetId="5" r:id="rId7"/>
  </sheets>
  <definedNames>
    <definedName name="_xlnm._FilterDatabase" localSheetId="6" hidden="1">Таблица!$G$2:$G$195</definedName>
    <definedName name="_xlnm.Print_Area" localSheetId="2">Аксессуары!$A$1:$E$26</definedName>
    <definedName name="_xlnm.Print_Area" localSheetId="6">Таблица!$A$1:$E$49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5" l="1"/>
  <c r="Y148" i="5" l="1"/>
  <c r="W148" i="5"/>
  <c r="V148" i="5"/>
  <c r="U148" i="5"/>
  <c r="Y147" i="5"/>
  <c r="W147" i="5"/>
  <c r="V147" i="5"/>
  <c r="U147" i="5"/>
  <c r="S148" i="5"/>
  <c r="Q148" i="5"/>
  <c r="P148" i="5"/>
  <c r="O148" i="5"/>
  <c r="S147" i="5"/>
  <c r="Q147" i="5"/>
  <c r="P147" i="5"/>
  <c r="O147" i="5"/>
  <c r="E182" i="5"/>
  <c r="E181" i="5"/>
  <c r="E180" i="5"/>
  <c r="E179" i="5"/>
  <c r="E178" i="5"/>
  <c r="E177" i="5"/>
  <c r="E176" i="5"/>
  <c r="E175" i="5"/>
  <c r="E174" i="5"/>
  <c r="E173" i="5"/>
  <c r="M148" i="5"/>
  <c r="M147" i="5"/>
  <c r="K148" i="5"/>
  <c r="K147" i="5"/>
  <c r="J148" i="5"/>
  <c r="J147" i="5"/>
  <c r="I148" i="5"/>
  <c r="I147" i="5"/>
  <c r="E169" i="5"/>
  <c r="E168" i="5"/>
  <c r="E148" i="5"/>
  <c r="E33" i="1" s="1"/>
  <c r="E147" i="5"/>
  <c r="E32" i="1" s="1"/>
  <c r="E18" i="7" l="1"/>
  <c r="AK189" i="5" l="1"/>
  <c r="AI189" i="5"/>
  <c r="AH189" i="5"/>
  <c r="AG189" i="5"/>
  <c r="AE189" i="5"/>
  <c r="AC189" i="5"/>
  <c r="AB189" i="5"/>
  <c r="AA189" i="5"/>
  <c r="Y189" i="5"/>
  <c r="W189" i="5"/>
  <c r="V189" i="5"/>
  <c r="U189" i="5"/>
  <c r="Q189" i="5"/>
  <c r="P189" i="5"/>
  <c r="O189" i="5"/>
  <c r="K189" i="5"/>
  <c r="J189" i="5"/>
  <c r="I189" i="5"/>
  <c r="AQ188" i="5"/>
  <c r="AO188" i="5"/>
  <c r="AN188" i="5"/>
  <c r="AM188" i="5"/>
  <c r="AI188" i="5"/>
  <c r="AH188" i="5"/>
  <c r="AG188" i="5"/>
  <c r="AC188" i="5"/>
  <c r="AB188" i="5"/>
  <c r="AA188" i="5"/>
  <c r="Y188" i="5"/>
  <c r="W188" i="5"/>
  <c r="V188" i="5"/>
  <c r="U188" i="5"/>
  <c r="S188" i="5"/>
  <c r="Q188" i="5"/>
  <c r="P188" i="5"/>
  <c r="O188" i="5"/>
  <c r="M188" i="5"/>
  <c r="K188" i="5"/>
  <c r="J188" i="5"/>
  <c r="I188" i="5"/>
  <c r="AK187" i="5"/>
  <c r="AI187" i="5"/>
  <c r="AH187" i="5"/>
  <c r="AG187" i="5"/>
  <c r="AC187" i="5"/>
  <c r="AB187" i="5"/>
  <c r="AA187" i="5"/>
  <c r="Y187" i="5"/>
  <c r="W187" i="5"/>
  <c r="V187" i="5"/>
  <c r="U187" i="5"/>
  <c r="S187" i="5"/>
  <c r="Q187" i="5"/>
  <c r="P187" i="5"/>
  <c r="O187" i="5"/>
  <c r="M187" i="5"/>
  <c r="K187" i="5"/>
  <c r="J187" i="5"/>
  <c r="I187" i="5"/>
  <c r="AE186" i="5"/>
  <c r="AC186" i="5"/>
  <c r="AB186" i="5"/>
  <c r="AA186" i="5"/>
  <c r="Y186" i="5"/>
  <c r="W186" i="5"/>
  <c r="V186" i="5"/>
  <c r="U186" i="5"/>
  <c r="S186" i="5"/>
  <c r="Q186" i="5"/>
  <c r="P186" i="5"/>
  <c r="O186" i="5"/>
  <c r="M186" i="5"/>
  <c r="K186" i="5"/>
  <c r="J186" i="5"/>
  <c r="I186" i="5"/>
  <c r="AK185" i="5"/>
  <c r="AI185" i="5"/>
  <c r="AH185" i="5"/>
  <c r="AG185" i="5"/>
  <c r="AE185" i="5"/>
  <c r="AC185" i="5"/>
  <c r="AB185" i="5"/>
  <c r="AA185" i="5"/>
  <c r="W185" i="5"/>
  <c r="V185" i="5"/>
  <c r="U185" i="5"/>
  <c r="Q185" i="5"/>
  <c r="P185" i="5"/>
  <c r="O185" i="5"/>
  <c r="M185" i="5"/>
  <c r="K185" i="5"/>
  <c r="J185" i="5"/>
  <c r="I185" i="5"/>
  <c r="AK184" i="5"/>
  <c r="AI184" i="5"/>
  <c r="AH184" i="5"/>
  <c r="AG184" i="5"/>
  <c r="AE184" i="5"/>
  <c r="AC184" i="5"/>
  <c r="AB184" i="5"/>
  <c r="AA184" i="5"/>
  <c r="Y184" i="5"/>
  <c r="W184" i="5"/>
  <c r="V184" i="5"/>
  <c r="U184" i="5"/>
  <c r="S184" i="5"/>
  <c r="Q184" i="5"/>
  <c r="P184" i="5"/>
  <c r="O184" i="5"/>
  <c r="M184" i="5"/>
  <c r="K184" i="5"/>
  <c r="J184" i="5"/>
  <c r="I184" i="5"/>
  <c r="E172" i="5"/>
  <c r="E171" i="5"/>
  <c r="E170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Y152" i="5"/>
  <c r="W152" i="5"/>
  <c r="V152" i="5"/>
  <c r="U152" i="5"/>
  <c r="S152" i="5"/>
  <c r="Q152" i="5"/>
  <c r="P152" i="5"/>
  <c r="O152" i="5"/>
  <c r="M152" i="5"/>
  <c r="K152" i="5"/>
  <c r="J152" i="5"/>
  <c r="I152" i="5"/>
  <c r="E152" i="5"/>
  <c r="E37" i="1" s="1"/>
  <c r="Y151" i="5"/>
  <c r="W151" i="5"/>
  <c r="V151" i="5"/>
  <c r="U151" i="5"/>
  <c r="S151" i="5"/>
  <c r="Q151" i="5"/>
  <c r="P151" i="5"/>
  <c r="O151" i="5"/>
  <c r="M151" i="5"/>
  <c r="K151" i="5"/>
  <c r="J151" i="5"/>
  <c r="I151" i="5"/>
  <c r="E151" i="5"/>
  <c r="E36" i="1" s="1"/>
  <c r="Y150" i="5"/>
  <c r="W150" i="5"/>
  <c r="V150" i="5"/>
  <c r="U150" i="5"/>
  <c r="S150" i="5"/>
  <c r="Q150" i="5"/>
  <c r="P150" i="5"/>
  <c r="O150" i="5"/>
  <c r="M150" i="5"/>
  <c r="K150" i="5"/>
  <c r="J150" i="5"/>
  <c r="I150" i="5"/>
  <c r="E150" i="5"/>
  <c r="E35" i="1" s="1"/>
  <c r="Y149" i="5"/>
  <c r="W149" i="5"/>
  <c r="V149" i="5"/>
  <c r="U149" i="5"/>
  <c r="S149" i="5"/>
  <c r="Q149" i="5"/>
  <c r="P149" i="5"/>
  <c r="O149" i="5"/>
  <c r="M149" i="5"/>
  <c r="K149" i="5"/>
  <c r="J149" i="5"/>
  <c r="I149" i="5"/>
  <c r="E149" i="5"/>
  <c r="E34" i="1" s="1"/>
  <c r="E146" i="5"/>
  <c r="E145" i="5"/>
  <c r="E144" i="5"/>
  <c r="E28" i="9" s="1"/>
  <c r="E143" i="5"/>
  <c r="E27" i="9" s="1"/>
  <c r="E142" i="5"/>
  <c r="E26" i="9" s="1"/>
  <c r="E141" i="5"/>
  <c r="E25" i="9" s="1"/>
  <c r="E140" i="5"/>
  <c r="E24" i="9" s="1"/>
  <c r="E139" i="5"/>
  <c r="E23" i="9" s="1"/>
  <c r="E138" i="5"/>
  <c r="E22" i="9" s="1"/>
  <c r="E137" i="5"/>
  <c r="E21" i="9" s="1"/>
  <c r="E136" i="5"/>
  <c r="E20" i="9" s="1"/>
  <c r="E135" i="5"/>
  <c r="E19" i="9" s="1"/>
  <c r="E134" i="5"/>
  <c r="E18" i="9" s="1"/>
  <c r="E133" i="5"/>
  <c r="E17" i="9" s="1"/>
  <c r="E132" i="5"/>
  <c r="E16" i="9" s="1"/>
  <c r="E131" i="5"/>
  <c r="AE188" i="5" s="1"/>
  <c r="E130" i="5"/>
  <c r="AK188" i="5" s="1"/>
  <c r="E129" i="5"/>
  <c r="E13" i="9" s="1"/>
  <c r="E128" i="5"/>
  <c r="E12" i="9" s="1"/>
  <c r="E127" i="5"/>
  <c r="E11" i="9" s="1"/>
  <c r="E126" i="5"/>
  <c r="E10" i="9" s="1"/>
  <c r="E125" i="5"/>
  <c r="E9" i="9" s="1"/>
  <c r="E124" i="5"/>
  <c r="E12" i="8" s="1"/>
  <c r="E123" i="5"/>
  <c r="E11" i="8" s="1"/>
  <c r="E122" i="5"/>
  <c r="E121" i="5"/>
  <c r="E10" i="8" s="1"/>
  <c r="E120" i="5"/>
  <c r="E119" i="5"/>
  <c r="E9" i="8" s="1"/>
  <c r="E118" i="5"/>
  <c r="E117" i="5"/>
  <c r="E8" i="8" s="1"/>
  <c r="E116" i="5"/>
  <c r="E115" i="5"/>
  <c r="E7" i="8" s="1"/>
  <c r="E114" i="5"/>
  <c r="E113" i="5"/>
  <c r="E6" i="8" s="1"/>
  <c r="E112" i="5"/>
  <c r="E5" i="8" s="1"/>
  <c r="E111" i="5"/>
  <c r="E4" i="8" s="1"/>
  <c r="E110" i="5"/>
  <c r="E24" i="7" s="1"/>
  <c r="E109" i="5"/>
  <c r="E23" i="7" s="1"/>
  <c r="E108" i="5"/>
  <c r="E22" i="7" s="1"/>
  <c r="E107" i="5"/>
  <c r="E21" i="7" s="1"/>
  <c r="E106" i="5"/>
  <c r="E20" i="7" s="1"/>
  <c r="E105" i="5"/>
  <c r="E19" i="7" s="1"/>
  <c r="E94" i="5"/>
  <c r="E17" i="7" s="1"/>
  <c r="E93" i="5"/>
  <c r="E16" i="7" s="1"/>
  <c r="E92" i="5"/>
  <c r="E15" i="7" s="1"/>
  <c r="E91" i="5"/>
  <c r="E14" i="7" s="1"/>
  <c r="E90" i="5"/>
  <c r="E13" i="7" s="1"/>
  <c r="E89" i="5"/>
  <c r="E12" i="7" s="1"/>
  <c r="E88" i="5"/>
  <c r="E11" i="7" s="1"/>
  <c r="E87" i="5"/>
  <c r="E10" i="7" s="1"/>
  <c r="E86" i="5"/>
  <c r="E9" i="7" s="1"/>
  <c r="E85" i="5"/>
  <c r="E8" i="7" s="1"/>
  <c r="E84" i="5"/>
  <c r="E7" i="7" s="1"/>
  <c r="E83" i="5"/>
  <c r="E82" i="5"/>
  <c r="E5" i="7" s="1"/>
  <c r="E81" i="5"/>
  <c r="E4" i="7" s="1"/>
  <c r="Y80" i="5"/>
  <c r="V80" i="5"/>
  <c r="U80" i="5"/>
  <c r="S80" i="5"/>
  <c r="Q80" i="5"/>
  <c r="P80" i="5"/>
  <c r="O80" i="5"/>
  <c r="M80" i="5"/>
  <c r="K80" i="5"/>
  <c r="J80" i="5"/>
  <c r="I80" i="5"/>
  <c r="E80" i="5"/>
  <c r="Y79" i="5"/>
  <c r="V79" i="5"/>
  <c r="U79" i="5"/>
  <c r="S79" i="5"/>
  <c r="Q79" i="5"/>
  <c r="P79" i="5"/>
  <c r="O79" i="5"/>
  <c r="M79" i="5"/>
  <c r="K79" i="5"/>
  <c r="J79" i="5"/>
  <c r="I79" i="5"/>
  <c r="E79" i="5"/>
  <c r="E46" i="6" s="1"/>
  <c r="S78" i="5"/>
  <c r="Q78" i="5"/>
  <c r="P78" i="5"/>
  <c r="O78" i="5"/>
  <c r="M78" i="5"/>
  <c r="K78" i="5"/>
  <c r="J78" i="5"/>
  <c r="I78" i="5"/>
  <c r="E78" i="5"/>
  <c r="S77" i="5"/>
  <c r="Q77" i="5"/>
  <c r="P77" i="5"/>
  <c r="O77" i="5"/>
  <c r="M77" i="5"/>
  <c r="K77" i="5"/>
  <c r="J77" i="5"/>
  <c r="I77" i="5"/>
  <c r="E77" i="5"/>
  <c r="E45" i="6" s="1"/>
  <c r="AE76" i="5"/>
  <c r="AB76" i="5"/>
  <c r="AA76" i="5"/>
  <c r="Y76" i="5"/>
  <c r="W76" i="5"/>
  <c r="V76" i="5"/>
  <c r="U76" i="5"/>
  <c r="S76" i="5"/>
  <c r="Q76" i="5"/>
  <c r="P76" i="5"/>
  <c r="O76" i="5"/>
  <c r="M76" i="5"/>
  <c r="K76" i="5"/>
  <c r="J76" i="5"/>
  <c r="I76" i="5"/>
  <c r="E76" i="5"/>
  <c r="E44" i="6" s="1"/>
  <c r="Y75" i="5"/>
  <c r="W75" i="5"/>
  <c r="V75" i="5"/>
  <c r="U75" i="5"/>
  <c r="S75" i="5"/>
  <c r="Q75" i="5"/>
  <c r="P75" i="5"/>
  <c r="O75" i="5"/>
  <c r="M75" i="5"/>
  <c r="K75" i="5"/>
  <c r="J75" i="5"/>
  <c r="I75" i="5"/>
  <c r="E75" i="5"/>
  <c r="E43" i="6" s="1"/>
  <c r="Y74" i="5"/>
  <c r="V74" i="5"/>
  <c r="U74" i="5"/>
  <c r="S74" i="5"/>
  <c r="Q74" i="5"/>
  <c r="P74" i="5"/>
  <c r="O74" i="5"/>
  <c r="M74" i="5"/>
  <c r="K74" i="5"/>
  <c r="J74" i="5"/>
  <c r="I74" i="5"/>
  <c r="E74" i="5"/>
  <c r="Y73" i="5"/>
  <c r="V73" i="5"/>
  <c r="U73" i="5"/>
  <c r="S73" i="5"/>
  <c r="Q73" i="5"/>
  <c r="P73" i="5"/>
  <c r="O73" i="5"/>
  <c r="M73" i="5"/>
  <c r="K73" i="5"/>
  <c r="J73" i="5"/>
  <c r="I73" i="5"/>
  <c r="E73" i="5"/>
  <c r="E42" i="6" s="1"/>
  <c r="S72" i="5"/>
  <c r="Q72" i="5"/>
  <c r="P72" i="5"/>
  <c r="O72" i="5"/>
  <c r="M72" i="5"/>
  <c r="K72" i="5"/>
  <c r="J72" i="5"/>
  <c r="I72" i="5"/>
  <c r="E72" i="5"/>
  <c r="S71" i="5"/>
  <c r="Q71" i="5"/>
  <c r="P71" i="5"/>
  <c r="O71" i="5"/>
  <c r="M71" i="5"/>
  <c r="K71" i="5"/>
  <c r="J71" i="5"/>
  <c r="I71" i="5"/>
  <c r="E71" i="5"/>
  <c r="E41" i="6" s="1"/>
  <c r="Y70" i="5"/>
  <c r="V70" i="5"/>
  <c r="U70" i="5"/>
  <c r="S70" i="5"/>
  <c r="Q70" i="5"/>
  <c r="P70" i="5"/>
  <c r="O70" i="5"/>
  <c r="M70" i="5"/>
  <c r="K70" i="5"/>
  <c r="J70" i="5"/>
  <c r="I70" i="5"/>
  <c r="E70" i="5"/>
  <c r="Y69" i="5"/>
  <c r="V69" i="5"/>
  <c r="U69" i="5"/>
  <c r="S69" i="5"/>
  <c r="Q69" i="5"/>
  <c r="P69" i="5"/>
  <c r="O69" i="5"/>
  <c r="M69" i="5"/>
  <c r="K69" i="5"/>
  <c r="J69" i="5"/>
  <c r="I69" i="5"/>
  <c r="E69" i="5"/>
  <c r="E40" i="6" s="1"/>
  <c r="S68" i="5"/>
  <c r="Q68" i="5"/>
  <c r="P68" i="5"/>
  <c r="O68" i="5"/>
  <c r="M68" i="5"/>
  <c r="K68" i="5"/>
  <c r="J68" i="5"/>
  <c r="I68" i="5"/>
  <c r="E68" i="5"/>
  <c r="S67" i="5"/>
  <c r="Q67" i="5"/>
  <c r="P67" i="5"/>
  <c r="O67" i="5"/>
  <c r="M67" i="5"/>
  <c r="K67" i="5"/>
  <c r="J67" i="5"/>
  <c r="I67" i="5"/>
  <c r="E67" i="5"/>
  <c r="E39" i="6" s="1"/>
  <c r="AE66" i="5"/>
  <c r="AB66" i="5"/>
  <c r="AA66" i="5"/>
  <c r="Y66" i="5"/>
  <c r="W66" i="5"/>
  <c r="V66" i="5"/>
  <c r="U66" i="5"/>
  <c r="S66" i="5"/>
  <c r="Q66" i="5"/>
  <c r="P66" i="5"/>
  <c r="O66" i="5"/>
  <c r="M66" i="5"/>
  <c r="K66" i="5"/>
  <c r="J66" i="5"/>
  <c r="I66" i="5"/>
  <c r="E66" i="5"/>
  <c r="E38" i="6" s="1"/>
  <c r="Y65" i="5"/>
  <c r="W65" i="5"/>
  <c r="V65" i="5"/>
  <c r="U65" i="5"/>
  <c r="S65" i="5"/>
  <c r="Q65" i="5"/>
  <c r="P65" i="5"/>
  <c r="O65" i="5"/>
  <c r="M65" i="5"/>
  <c r="K65" i="5"/>
  <c r="J65" i="5"/>
  <c r="I65" i="5"/>
  <c r="E65" i="5"/>
  <c r="E37" i="6" s="1"/>
  <c r="AE64" i="5"/>
  <c r="AB64" i="5"/>
  <c r="AA64" i="5"/>
  <c r="Y64" i="5"/>
  <c r="W64" i="5"/>
  <c r="V64" i="5"/>
  <c r="U64" i="5"/>
  <c r="S64" i="5"/>
  <c r="Q64" i="5"/>
  <c r="P64" i="5"/>
  <c r="O64" i="5"/>
  <c r="M64" i="5"/>
  <c r="K64" i="5"/>
  <c r="J64" i="5"/>
  <c r="I64" i="5"/>
  <c r="E64" i="5"/>
  <c r="E36" i="6" s="1"/>
  <c r="Y63" i="5"/>
  <c r="W63" i="5"/>
  <c r="V63" i="5"/>
  <c r="U63" i="5"/>
  <c r="S63" i="5"/>
  <c r="Q63" i="5"/>
  <c r="P63" i="5"/>
  <c r="O63" i="5"/>
  <c r="M63" i="5"/>
  <c r="K63" i="5"/>
  <c r="J63" i="5"/>
  <c r="I63" i="5"/>
  <c r="E63" i="5"/>
  <c r="E35" i="6" s="1"/>
  <c r="S62" i="5"/>
  <c r="Q62" i="5"/>
  <c r="P62" i="5"/>
  <c r="O62" i="5"/>
  <c r="M62" i="5"/>
  <c r="K62" i="5"/>
  <c r="J62" i="5"/>
  <c r="I62" i="5"/>
  <c r="E62" i="5"/>
  <c r="S61" i="5"/>
  <c r="Q61" i="5"/>
  <c r="P61" i="5"/>
  <c r="O61" i="5"/>
  <c r="M61" i="5"/>
  <c r="K61" i="5"/>
  <c r="J61" i="5"/>
  <c r="I61" i="5"/>
  <c r="E61" i="5"/>
  <c r="E34" i="6" s="1"/>
  <c r="Y60" i="5"/>
  <c r="W60" i="5"/>
  <c r="V60" i="5"/>
  <c r="U60" i="5"/>
  <c r="S60" i="5"/>
  <c r="Q60" i="5"/>
  <c r="P60" i="5"/>
  <c r="O60" i="5"/>
  <c r="M60" i="5"/>
  <c r="K60" i="5"/>
  <c r="J60" i="5"/>
  <c r="I60" i="5"/>
  <c r="E60" i="5"/>
  <c r="Y59" i="5"/>
  <c r="W59" i="5"/>
  <c r="V59" i="5"/>
  <c r="U59" i="5"/>
  <c r="S59" i="5"/>
  <c r="Q59" i="5"/>
  <c r="P59" i="5"/>
  <c r="O59" i="5"/>
  <c r="M59" i="5"/>
  <c r="K59" i="5"/>
  <c r="J59" i="5"/>
  <c r="I59" i="5"/>
  <c r="E59" i="5"/>
  <c r="E33" i="6" s="1"/>
  <c r="AE58" i="5"/>
  <c r="AB58" i="5"/>
  <c r="AA58" i="5"/>
  <c r="Y58" i="5"/>
  <c r="W58" i="5"/>
  <c r="V58" i="5"/>
  <c r="U58" i="5"/>
  <c r="S58" i="5"/>
  <c r="Q58" i="5"/>
  <c r="P58" i="5"/>
  <c r="O58" i="5"/>
  <c r="M58" i="5"/>
  <c r="K58" i="5"/>
  <c r="J58" i="5"/>
  <c r="I58" i="5"/>
  <c r="E58" i="5"/>
  <c r="AE57" i="5"/>
  <c r="AB57" i="5"/>
  <c r="AA57" i="5"/>
  <c r="Y57" i="5"/>
  <c r="W57" i="5"/>
  <c r="V57" i="5"/>
  <c r="U57" i="5"/>
  <c r="S57" i="5"/>
  <c r="Q57" i="5"/>
  <c r="P57" i="5"/>
  <c r="O57" i="5"/>
  <c r="M57" i="5"/>
  <c r="K57" i="5"/>
  <c r="J57" i="5"/>
  <c r="I57" i="5"/>
  <c r="E57" i="5"/>
  <c r="E32" i="6" s="1"/>
  <c r="S56" i="5"/>
  <c r="Q56" i="5"/>
  <c r="P56" i="5"/>
  <c r="O56" i="5"/>
  <c r="M56" i="5"/>
  <c r="K56" i="5"/>
  <c r="J56" i="5"/>
  <c r="I56" i="5"/>
  <c r="E56" i="5"/>
  <c r="S55" i="5"/>
  <c r="Q55" i="5"/>
  <c r="P55" i="5"/>
  <c r="O55" i="5"/>
  <c r="M55" i="5"/>
  <c r="K55" i="5"/>
  <c r="J55" i="5"/>
  <c r="I55" i="5"/>
  <c r="E55" i="5"/>
  <c r="E31" i="6" s="1"/>
  <c r="Y54" i="5"/>
  <c r="W54" i="5"/>
  <c r="V54" i="5"/>
  <c r="U54" i="5"/>
  <c r="S54" i="5"/>
  <c r="Q54" i="5"/>
  <c r="P54" i="5"/>
  <c r="O54" i="5"/>
  <c r="M54" i="5"/>
  <c r="K54" i="5"/>
  <c r="J54" i="5"/>
  <c r="I54" i="5"/>
  <c r="E54" i="5"/>
  <c r="Y53" i="5"/>
  <c r="W53" i="5"/>
  <c r="V53" i="5"/>
  <c r="U53" i="5"/>
  <c r="S53" i="5"/>
  <c r="Q53" i="5"/>
  <c r="P53" i="5"/>
  <c r="O53" i="5"/>
  <c r="M53" i="5"/>
  <c r="K53" i="5"/>
  <c r="J53" i="5"/>
  <c r="I53" i="5"/>
  <c r="E53" i="5"/>
  <c r="E30" i="6" s="1"/>
  <c r="AE52" i="5"/>
  <c r="AB52" i="5"/>
  <c r="AA52" i="5"/>
  <c r="Y52" i="5"/>
  <c r="W52" i="5"/>
  <c r="V52" i="5"/>
  <c r="U52" i="5"/>
  <c r="S52" i="5"/>
  <c r="Q52" i="5"/>
  <c r="P52" i="5"/>
  <c r="O52" i="5"/>
  <c r="M52" i="5"/>
  <c r="K52" i="5"/>
  <c r="J52" i="5"/>
  <c r="I52" i="5"/>
  <c r="E52" i="5"/>
  <c r="AE51" i="5"/>
  <c r="AB51" i="5"/>
  <c r="AA51" i="5"/>
  <c r="Y51" i="5"/>
  <c r="W51" i="5"/>
  <c r="V51" i="5"/>
  <c r="U51" i="5"/>
  <c r="S51" i="5"/>
  <c r="Q51" i="5"/>
  <c r="P51" i="5"/>
  <c r="O51" i="5"/>
  <c r="M51" i="5"/>
  <c r="K51" i="5"/>
  <c r="J51" i="5"/>
  <c r="I51" i="5"/>
  <c r="E51" i="5"/>
  <c r="E29" i="6" s="1"/>
  <c r="Y50" i="5"/>
  <c r="W50" i="5"/>
  <c r="V50" i="5"/>
  <c r="U50" i="5"/>
  <c r="S50" i="5"/>
  <c r="Q50" i="5"/>
  <c r="P50" i="5"/>
  <c r="O50" i="5"/>
  <c r="M50" i="5"/>
  <c r="K50" i="5"/>
  <c r="J50" i="5"/>
  <c r="I50" i="5"/>
  <c r="E50" i="5"/>
  <c r="Y49" i="5"/>
  <c r="W49" i="5"/>
  <c r="V49" i="5"/>
  <c r="U49" i="5"/>
  <c r="S49" i="5"/>
  <c r="Q49" i="5"/>
  <c r="P49" i="5"/>
  <c r="O49" i="5"/>
  <c r="M49" i="5"/>
  <c r="K49" i="5"/>
  <c r="J49" i="5"/>
  <c r="I49" i="5"/>
  <c r="E49" i="5"/>
  <c r="E28" i="6" s="1"/>
  <c r="AE48" i="5"/>
  <c r="AB48" i="5"/>
  <c r="AA48" i="5"/>
  <c r="Y48" i="5"/>
  <c r="W48" i="5"/>
  <c r="V48" i="5"/>
  <c r="U48" i="5"/>
  <c r="S48" i="5"/>
  <c r="Q48" i="5"/>
  <c r="P48" i="5"/>
  <c r="O48" i="5"/>
  <c r="M48" i="5"/>
  <c r="K48" i="5"/>
  <c r="J48" i="5"/>
  <c r="I48" i="5"/>
  <c r="E48" i="5"/>
  <c r="AE47" i="5"/>
  <c r="AB47" i="5"/>
  <c r="AA47" i="5"/>
  <c r="Y47" i="5"/>
  <c r="W47" i="5"/>
  <c r="V47" i="5"/>
  <c r="U47" i="5"/>
  <c r="S47" i="5"/>
  <c r="Q47" i="5"/>
  <c r="P47" i="5"/>
  <c r="O47" i="5"/>
  <c r="M47" i="5"/>
  <c r="K47" i="5"/>
  <c r="J47" i="5"/>
  <c r="I47" i="5"/>
  <c r="E47" i="5"/>
  <c r="E27" i="6" s="1"/>
  <c r="S46" i="5"/>
  <c r="Q46" i="5"/>
  <c r="P46" i="5"/>
  <c r="O46" i="5"/>
  <c r="M46" i="5"/>
  <c r="K46" i="5"/>
  <c r="J46" i="5"/>
  <c r="I46" i="5"/>
  <c r="E46" i="5"/>
  <c r="S45" i="5"/>
  <c r="Q45" i="5"/>
  <c r="P45" i="5"/>
  <c r="O45" i="5"/>
  <c r="M45" i="5"/>
  <c r="K45" i="5"/>
  <c r="J45" i="5"/>
  <c r="I45" i="5"/>
  <c r="E45" i="5"/>
  <c r="E26" i="6" s="1"/>
  <c r="S44" i="5"/>
  <c r="Q44" i="5"/>
  <c r="P44" i="5"/>
  <c r="O44" i="5"/>
  <c r="M44" i="5"/>
  <c r="K44" i="5"/>
  <c r="J44" i="5"/>
  <c r="I44" i="5"/>
  <c r="E44" i="5"/>
  <c r="E25" i="6" s="1"/>
  <c r="S43" i="5"/>
  <c r="Q43" i="5"/>
  <c r="P43" i="5"/>
  <c r="O43" i="5"/>
  <c r="M43" i="5"/>
  <c r="K43" i="5"/>
  <c r="J43" i="5"/>
  <c r="I43" i="5"/>
  <c r="E43" i="5"/>
  <c r="E24" i="6" s="1"/>
  <c r="S42" i="5"/>
  <c r="Q42" i="5"/>
  <c r="P42" i="5"/>
  <c r="O42" i="5"/>
  <c r="M42" i="5"/>
  <c r="K42" i="5"/>
  <c r="J42" i="5"/>
  <c r="I42" i="5"/>
  <c r="E42" i="5"/>
  <c r="E23" i="6" s="1"/>
  <c r="S41" i="5"/>
  <c r="Q41" i="5"/>
  <c r="P41" i="5"/>
  <c r="O41" i="5"/>
  <c r="M41" i="5"/>
  <c r="K41" i="5"/>
  <c r="J41" i="5"/>
  <c r="I41" i="5"/>
  <c r="E41" i="5"/>
  <c r="E22" i="6" s="1"/>
  <c r="Y40" i="5"/>
  <c r="W40" i="5"/>
  <c r="V40" i="5"/>
  <c r="U40" i="5"/>
  <c r="S40" i="5"/>
  <c r="Q40" i="5"/>
  <c r="P40" i="5"/>
  <c r="O40" i="5"/>
  <c r="M40" i="5"/>
  <c r="K40" i="5"/>
  <c r="J40" i="5"/>
  <c r="I40" i="5"/>
  <c r="E40" i="5"/>
  <c r="E21" i="6" s="1"/>
  <c r="AK39" i="5"/>
  <c r="AI39" i="5"/>
  <c r="AH39" i="5"/>
  <c r="AG39" i="5"/>
  <c r="AE39" i="5"/>
  <c r="AC39" i="5"/>
  <c r="AB39" i="5"/>
  <c r="AA39" i="5"/>
  <c r="Y39" i="5"/>
  <c r="W39" i="5"/>
  <c r="V39" i="5"/>
  <c r="U39" i="5"/>
  <c r="S39" i="5"/>
  <c r="Q39" i="5"/>
  <c r="P39" i="5"/>
  <c r="O39" i="5"/>
  <c r="M39" i="5"/>
  <c r="K39" i="5"/>
  <c r="J39" i="5"/>
  <c r="I39" i="5"/>
  <c r="E39" i="5"/>
  <c r="E20" i="6" s="1"/>
  <c r="AP38" i="5"/>
  <c r="AO38" i="5"/>
  <c r="AK38" i="5"/>
  <c r="AI38" i="5"/>
  <c r="AH38" i="5"/>
  <c r="AG38" i="5"/>
  <c r="AE38" i="5"/>
  <c r="AC38" i="5"/>
  <c r="AB38" i="5"/>
  <c r="AA38" i="5"/>
  <c r="Y38" i="5"/>
  <c r="W38" i="5"/>
  <c r="V38" i="5"/>
  <c r="U38" i="5"/>
  <c r="S38" i="5"/>
  <c r="Q38" i="5"/>
  <c r="P38" i="5"/>
  <c r="O38" i="5"/>
  <c r="M38" i="5"/>
  <c r="K38" i="5"/>
  <c r="J38" i="5"/>
  <c r="I38" i="5"/>
  <c r="E38" i="5"/>
  <c r="E19" i="6" s="1"/>
  <c r="Y37" i="5"/>
  <c r="W37" i="5"/>
  <c r="V37" i="5"/>
  <c r="U37" i="5"/>
  <c r="S37" i="5"/>
  <c r="Q37" i="5"/>
  <c r="P37" i="5"/>
  <c r="O37" i="5"/>
  <c r="M37" i="5"/>
  <c r="K37" i="5"/>
  <c r="J37" i="5"/>
  <c r="I37" i="5"/>
  <c r="E37" i="5"/>
  <c r="E18" i="6" s="1"/>
  <c r="Y36" i="5"/>
  <c r="W36" i="5"/>
  <c r="V36" i="5"/>
  <c r="U36" i="5"/>
  <c r="S36" i="5"/>
  <c r="Q36" i="5"/>
  <c r="P36" i="5"/>
  <c r="O36" i="5"/>
  <c r="M36" i="5"/>
  <c r="K36" i="5"/>
  <c r="J36" i="5"/>
  <c r="I36" i="5"/>
  <c r="E36" i="5"/>
  <c r="E17" i="6" s="1"/>
  <c r="AQ35" i="5"/>
  <c r="AQ38" i="5" s="1"/>
  <c r="AN35" i="5"/>
  <c r="AN38" i="5" s="1"/>
  <c r="AM35" i="5"/>
  <c r="AM38" i="5" s="1"/>
  <c r="AK35" i="5"/>
  <c r="AI35" i="5"/>
  <c r="AH35" i="5"/>
  <c r="AG35" i="5"/>
  <c r="AE35" i="5"/>
  <c r="AC35" i="5"/>
  <c r="AB35" i="5"/>
  <c r="AA35" i="5"/>
  <c r="Y35" i="5"/>
  <c r="W35" i="5"/>
  <c r="V35" i="5"/>
  <c r="U35" i="5"/>
  <c r="S35" i="5"/>
  <c r="Q35" i="5"/>
  <c r="P35" i="5"/>
  <c r="O35" i="5"/>
  <c r="M35" i="5"/>
  <c r="K35" i="5"/>
  <c r="J35" i="5"/>
  <c r="I35" i="5"/>
  <c r="E35" i="5"/>
  <c r="E16" i="6" s="1"/>
  <c r="AK34" i="5"/>
  <c r="AI34" i="5"/>
  <c r="AH34" i="5"/>
  <c r="AG34" i="5"/>
  <c r="AE34" i="5"/>
  <c r="AC34" i="5"/>
  <c r="AB34" i="5"/>
  <c r="AA34" i="5"/>
  <c r="Y34" i="5"/>
  <c r="W34" i="5"/>
  <c r="V34" i="5"/>
  <c r="U34" i="5"/>
  <c r="S34" i="5"/>
  <c r="Q34" i="5"/>
  <c r="P34" i="5"/>
  <c r="O34" i="5"/>
  <c r="M34" i="5"/>
  <c r="K34" i="5"/>
  <c r="J34" i="5"/>
  <c r="I34" i="5"/>
  <c r="E34" i="5"/>
  <c r="E15" i="6" s="1"/>
  <c r="AQ33" i="5"/>
  <c r="AN33" i="5"/>
  <c r="AM33" i="5"/>
  <c r="AK33" i="5"/>
  <c r="AI33" i="5"/>
  <c r="AH33" i="5"/>
  <c r="AG33" i="5"/>
  <c r="AE33" i="5"/>
  <c r="AC33" i="5"/>
  <c r="AB33" i="5"/>
  <c r="AA33" i="5"/>
  <c r="Y33" i="5"/>
  <c r="W33" i="5"/>
  <c r="V33" i="5"/>
  <c r="U33" i="5"/>
  <c r="S33" i="5"/>
  <c r="Q33" i="5"/>
  <c r="P33" i="5"/>
  <c r="O33" i="5"/>
  <c r="M33" i="5"/>
  <c r="K33" i="5"/>
  <c r="J33" i="5"/>
  <c r="I33" i="5"/>
  <c r="E33" i="5"/>
  <c r="E14" i="6" s="1"/>
  <c r="Y32" i="5"/>
  <c r="W32" i="5"/>
  <c r="V32" i="5"/>
  <c r="U32" i="5"/>
  <c r="S32" i="5"/>
  <c r="Q32" i="5"/>
  <c r="P32" i="5"/>
  <c r="O32" i="5"/>
  <c r="M32" i="5"/>
  <c r="K32" i="5"/>
  <c r="J32" i="5"/>
  <c r="I32" i="5"/>
  <c r="E32" i="5"/>
  <c r="E13" i="6" s="1"/>
  <c r="Y31" i="5"/>
  <c r="W31" i="5"/>
  <c r="V31" i="5"/>
  <c r="U31" i="5"/>
  <c r="S31" i="5"/>
  <c r="Q31" i="5"/>
  <c r="P31" i="5"/>
  <c r="O31" i="5"/>
  <c r="M31" i="5"/>
  <c r="K31" i="5"/>
  <c r="J31" i="5"/>
  <c r="I31" i="5"/>
  <c r="E31" i="5"/>
  <c r="E12" i="6" s="1"/>
  <c r="Y30" i="5"/>
  <c r="W30" i="5"/>
  <c r="V30" i="5"/>
  <c r="U30" i="5"/>
  <c r="S30" i="5"/>
  <c r="P30" i="5"/>
  <c r="O30" i="5"/>
  <c r="M30" i="5"/>
  <c r="K30" i="5"/>
  <c r="J30" i="5"/>
  <c r="I30" i="5"/>
  <c r="E30" i="5"/>
  <c r="E11" i="6" s="1"/>
  <c r="E29" i="5"/>
  <c r="E10" i="6" s="1"/>
  <c r="E28" i="5"/>
  <c r="E9" i="6" s="1"/>
  <c r="E27" i="5"/>
  <c r="E8" i="6" s="1"/>
  <c r="E26" i="5"/>
  <c r="E7" i="6" s="1"/>
  <c r="E25" i="5"/>
  <c r="E6" i="6" s="1"/>
  <c r="E24" i="5"/>
  <c r="E5" i="6" s="1"/>
  <c r="E23" i="5"/>
  <c r="E4" i="6" s="1"/>
  <c r="E22" i="5"/>
  <c r="E43" i="1" s="1"/>
  <c r="S21" i="5"/>
  <c r="Q21" i="5"/>
  <c r="P21" i="5"/>
  <c r="O21" i="5"/>
  <c r="M21" i="5"/>
  <c r="K21" i="5"/>
  <c r="J21" i="5"/>
  <c r="I21" i="5"/>
  <c r="E21" i="5"/>
  <c r="E42" i="1" s="1"/>
  <c r="S20" i="5"/>
  <c r="Q20" i="5"/>
  <c r="P20" i="5"/>
  <c r="O20" i="5"/>
  <c r="M20" i="5"/>
  <c r="K20" i="5"/>
  <c r="J20" i="5"/>
  <c r="I20" i="5"/>
  <c r="E20" i="5"/>
  <c r="E41" i="1" s="1"/>
  <c r="S19" i="5"/>
  <c r="Q19" i="5"/>
  <c r="P19" i="5"/>
  <c r="O19" i="5"/>
  <c r="M19" i="5"/>
  <c r="K19" i="5"/>
  <c r="J19" i="5"/>
  <c r="I19" i="5"/>
  <c r="E19" i="5"/>
  <c r="E40" i="1" s="1"/>
  <c r="S18" i="5"/>
  <c r="Q18" i="5"/>
  <c r="P18" i="5"/>
  <c r="O18" i="5"/>
  <c r="M18" i="5"/>
  <c r="K18" i="5"/>
  <c r="J18" i="5"/>
  <c r="I18" i="5"/>
  <c r="E18" i="5"/>
  <c r="E39" i="1" s="1"/>
  <c r="S17" i="5"/>
  <c r="Q17" i="5"/>
  <c r="P17" i="5"/>
  <c r="O17" i="5"/>
  <c r="M17" i="5"/>
  <c r="K17" i="5"/>
  <c r="J17" i="5"/>
  <c r="I17" i="5"/>
  <c r="E17" i="5"/>
  <c r="E38" i="1" s="1"/>
  <c r="E16" i="5"/>
  <c r="E31" i="1" s="1"/>
  <c r="E15" i="5"/>
  <c r="E30" i="1" s="1"/>
  <c r="E14" i="5"/>
  <c r="E29" i="1" s="1"/>
  <c r="E13" i="5"/>
  <c r="E28" i="1" s="1"/>
  <c r="E12" i="5"/>
  <c r="E27" i="1" s="1"/>
  <c r="E11" i="5"/>
  <c r="E26" i="1" s="1"/>
  <c r="E10" i="5"/>
  <c r="E25" i="1" s="1"/>
  <c r="E9" i="5"/>
  <c r="E24" i="1" s="1"/>
  <c r="E8" i="5"/>
  <c r="E23" i="1" s="1"/>
  <c r="E7" i="5"/>
  <c r="E22" i="1" s="1"/>
  <c r="E6" i="5"/>
  <c r="E21" i="1" s="1"/>
  <c r="E5" i="5"/>
  <c r="E20" i="1" s="1"/>
  <c r="E4" i="5"/>
  <c r="E19" i="1" s="1"/>
  <c r="D2" i="8"/>
  <c r="D2" i="10"/>
  <c r="D2" i="9"/>
  <c r="E6" i="7"/>
  <c r="D2" i="7"/>
  <c r="D2" i="6"/>
  <c r="E29" i="9" l="1"/>
  <c r="E184" i="5"/>
  <c r="E9" i="10" s="1"/>
  <c r="E30" i="9"/>
  <c r="E15" i="9"/>
  <c r="M189" i="5"/>
  <c r="AE187" i="5"/>
  <c r="E187" i="5" s="1"/>
  <c r="E12" i="10" s="1"/>
  <c r="E186" i="5"/>
  <c r="E11" i="10" s="1"/>
  <c r="E188" i="5"/>
  <c r="E13" i="10" s="1"/>
  <c r="S185" i="5"/>
  <c r="Y185" i="5"/>
  <c r="S189" i="5"/>
  <c r="E189" i="5" s="1"/>
  <c r="E14" i="9"/>
  <c r="E185" i="5" l="1"/>
  <c r="E10" i="10" s="1"/>
</calcChain>
</file>

<file path=xl/sharedStrings.xml><?xml version="1.0" encoding="utf-8"?>
<sst xmlns="http://schemas.openxmlformats.org/spreadsheetml/2006/main" count="1159" uniqueCount="636">
  <si>
    <t>ИП Киркус Я.Н.</t>
  </si>
  <si>
    <t>111123, г.Москва, шоссе Энтузиастов, д.31, стр. 38</t>
  </si>
  <si>
    <t>тел.  +7 (495) 642-70-97</t>
  </si>
  <si>
    <t>e-mail: 911@riva.ru</t>
  </si>
  <si>
    <t>www.riva.ru</t>
  </si>
  <si>
    <t>Прайс-лист на оперативную мебель серии "STYLE"</t>
  </si>
  <si>
    <t>ОПИСАНИЕ СЕРИИ</t>
  </si>
  <si>
    <t xml:space="preserve">Исполнение: ЛДСП толщиной 22, 18 мм, производство "Kronospan". </t>
  </si>
  <si>
    <t>Все детали столов, топы/каркасы тумб,  приставки, топы/каркасы стеллажей -  ЛДСП 22 мм.</t>
  </si>
  <si>
    <t>Фасады тумб и шкафов -  ЛДСП 18 мм.</t>
  </si>
  <si>
    <t>Цвет металла: Черный, Белый, Антрацит, Серый, Латте, Капучино.</t>
  </si>
  <si>
    <t xml:space="preserve">По покраске изделий из металла (от 10 шт) в любой цвет по RAL, обратитесь к вашему менеджеру. </t>
  </si>
  <si>
    <t>Цвета ЛДСП: Вяз Благородный, Акация Лорка, Белый, Дуб Наварра.</t>
  </si>
  <si>
    <t>Артикул</t>
  </si>
  <si>
    <t>Наименование</t>
  </si>
  <si>
    <t>Размеры Ш*Г*В, (мм)</t>
  </si>
  <si>
    <t>Изображение</t>
  </si>
  <si>
    <t>Цена, (руб.)</t>
  </si>
  <si>
    <t>Л.СП-1</t>
  </si>
  <si>
    <t>Стол письменный</t>
  </si>
  <si>
    <t>900*720*750</t>
  </si>
  <si>
    <t>Л.СП-2</t>
  </si>
  <si>
    <t>1180*720*750</t>
  </si>
  <si>
    <t>Л.СП-3</t>
  </si>
  <si>
    <t>1380*720*750</t>
  </si>
  <si>
    <t>Л.СП-4</t>
  </si>
  <si>
    <t>1580*720*750</t>
  </si>
  <si>
    <t>Л.СА-1 Л</t>
  </si>
  <si>
    <t>Стол криволинейный левый</t>
  </si>
  <si>
    <t>1580*900*750</t>
  </si>
  <si>
    <t>Л.СА-1 Пр</t>
  </si>
  <si>
    <t>Стол криволинейный правый</t>
  </si>
  <si>
    <t>Л.СА-2 Л</t>
  </si>
  <si>
    <t>1380*900*750</t>
  </si>
  <si>
    <t>Л.СА-2 Пр</t>
  </si>
  <si>
    <t>Л.СА-3 Л</t>
  </si>
  <si>
    <t>1380*1200*750</t>
  </si>
  <si>
    <t>Л.СА-3 Пр</t>
  </si>
  <si>
    <t>Л.СА-4 Л</t>
  </si>
  <si>
    <t>1580*1200*750</t>
  </si>
  <si>
    <t>Л.СА-4 Пр</t>
  </si>
  <si>
    <t>Л.ПРГ-2</t>
  </si>
  <si>
    <t>Стол переговорный</t>
  </si>
  <si>
    <t>1800*900*750</t>
  </si>
  <si>
    <t>Стол круглый</t>
  </si>
  <si>
    <t>Стол квадратный</t>
  </si>
  <si>
    <t>Стол овальный</t>
  </si>
  <si>
    <t>Стол прямоугольный</t>
  </si>
  <si>
    <t>Л.ТМ-3F</t>
  </si>
  <si>
    <t>Тумба подкатная (3 ящика фолдинг, с замком)</t>
  </si>
  <si>
    <t>420*450*563</t>
  </si>
  <si>
    <t>Л.ТМ-4F</t>
  </si>
  <si>
    <t>Тумба подкатная (4 ящика фолдинг, с замком)</t>
  </si>
  <si>
    <t>420*450*714</t>
  </si>
  <si>
    <t>Л.ТП-4F</t>
  </si>
  <si>
    <t>Тумба приставная (3 ящика фолдинг, с замком)</t>
  </si>
  <si>
    <t>420*450*750</t>
  </si>
  <si>
    <t>Л.ТП-4.1F</t>
  </si>
  <si>
    <t>420*600*750</t>
  </si>
  <si>
    <t>Л.ТП-4.2F</t>
  </si>
  <si>
    <t>420*720*750</t>
  </si>
  <si>
    <t>Л.ТМ-1</t>
  </si>
  <si>
    <t>Тумба под оргтехнику сервисная</t>
  </si>
  <si>
    <t>770*600*685</t>
  </si>
  <si>
    <t>Размеры Ш*Г*В (мм)</t>
  </si>
  <si>
    <t>Цена (руб.)</t>
  </si>
  <si>
    <t>Л.СТ-1</t>
  </si>
  <si>
    <t>Стеллаж высокий широкий</t>
  </si>
  <si>
    <t>778*410*1980</t>
  </si>
  <si>
    <t>Л.СТ-2</t>
  </si>
  <si>
    <t>Стеллаж средний широкий</t>
  </si>
  <si>
    <t>778*410*1215</t>
  </si>
  <si>
    <t>Л.СТ-3</t>
  </si>
  <si>
    <t>Стеллаж низкий широкий</t>
  </si>
  <si>
    <t>778*410*828</t>
  </si>
  <si>
    <t>Л.СУ-1</t>
  </si>
  <si>
    <t>Стеллаж высокий узкий</t>
  </si>
  <si>
    <t>412*410*1980</t>
  </si>
  <si>
    <t>Л.СУ-2</t>
  </si>
  <si>
    <t>Стеллаж средний узкий</t>
  </si>
  <si>
    <t>412*410*1215</t>
  </si>
  <si>
    <t>Л.СУ-3</t>
  </si>
  <si>
    <t>Стеллаж низкий узкий</t>
  </si>
  <si>
    <t>412*410*828</t>
  </si>
  <si>
    <t>Л.ГБ-1</t>
  </si>
  <si>
    <t>Гардероб узкий (выдвижная вешалка, левое открывание)</t>
  </si>
  <si>
    <t>558*410*1980</t>
  </si>
  <si>
    <t>Л.ГБ-2</t>
  </si>
  <si>
    <t>Гардероб глубокий (вешалка-штанга)</t>
  </si>
  <si>
    <t>778*580*1980</t>
  </si>
  <si>
    <t>Л.ГБ-4</t>
  </si>
  <si>
    <t>Гардероб комбинированный (выдвижная вешалка)</t>
  </si>
  <si>
    <t>Л.СТ-1.1</t>
  </si>
  <si>
    <t>Шкаф высокий широкий (2 низкие двери ЛДСП)</t>
  </si>
  <si>
    <t>Л.СТ-1.2</t>
  </si>
  <si>
    <t>Шкаф высокий широкий (2 низкие двери ЛДСП, 2 средние двери стекло)</t>
  </si>
  <si>
    <t>Л.СТ-1.3</t>
  </si>
  <si>
    <t>Шкаф высокий широкий (2 низкие двери ЛДСП, 2 средние двери ЛДСП)</t>
  </si>
  <si>
    <t>Л.СТ-1.4</t>
  </si>
  <si>
    <t>Шкаф высокий широкий (2 низкие двери ЛДСП, 2 низкие двери стекло)</t>
  </si>
  <si>
    <t>Л.СТ-1.5</t>
  </si>
  <si>
    <t>Шкаф высокий широкий (4 низкие двери ЛДСП)</t>
  </si>
  <si>
    <t>Л.СТ-1.6</t>
  </si>
  <si>
    <t>Шкаф высокий широкий (2 средние двери ЛДСП)</t>
  </si>
  <si>
    <t>Л.СТ-1.7</t>
  </si>
  <si>
    <t>Шкаф высокий широкий (2 средние двери ЛДСП, 2 низкие двери стекло)</t>
  </si>
  <si>
    <t>Л.СТ-1.8</t>
  </si>
  <si>
    <t>Шкаф высокий широкий (2 средние двери ЛДСП, 2 низкие двери ЛДСП)</t>
  </si>
  <si>
    <t>Л.СТ-1.9</t>
  </si>
  <si>
    <t>Шкаф высокий широкий (2 высокие двери ЛДСП)</t>
  </si>
  <si>
    <t>Л.ШК-1 Т</t>
  </si>
  <si>
    <t>Шкаф-купе высокий (наполнение - полки)</t>
  </si>
  <si>
    <t>1200*410*1980</t>
  </si>
  <si>
    <t>Л.ШК-2 Т</t>
  </si>
  <si>
    <t>Шкаф-купе средний (наполнение - полки)</t>
  </si>
  <si>
    <t>1200*410*1215</t>
  </si>
  <si>
    <t>Л.ШК-3.1 Т</t>
  </si>
  <si>
    <t>Шкаф-купе низкий (наполнение - полки)</t>
  </si>
  <si>
    <t>1200*410*750</t>
  </si>
  <si>
    <t>Л.ШК-3.2 Т</t>
  </si>
  <si>
    <t>1440*410*750</t>
  </si>
  <si>
    <t>Л.СУ-1.1 Л/Пр</t>
  </si>
  <si>
    <t>Шкаф высокий узкий левый/правый (1 низкая дверь ЛДСП)</t>
  </si>
  <si>
    <t>Л.СУ-1.2 Л/Пр</t>
  </si>
  <si>
    <t>Шкаф высокий узкий левый/правый (1 низкая дверь ЛДСП, 1 средняя дверь стекло)</t>
  </si>
  <si>
    <t>Л.СУ-1.3 Л/Пр</t>
  </si>
  <si>
    <t>Шкаф высокий узкий левый/правый (1 низкая дверь ЛДСП, 1 средняя дверь ЛДСП)</t>
  </si>
  <si>
    <t>Л.СУ-1.4 Л/Пр</t>
  </si>
  <si>
    <t>Шкаф высокий узкий левый/правый (1 низкая дверь ЛДСП, 1 низкая дверь стекло)</t>
  </si>
  <si>
    <t>Л.СУ-1.5 Л/Пр</t>
  </si>
  <si>
    <t>Шкаф высокий узкий левый/правый (2 низкие двери ЛДСП)</t>
  </si>
  <si>
    <t>Л.СУ-1.6Л/Пр</t>
  </si>
  <si>
    <t>Шкаф высокий узкий левый/правый (1 средняя дверь ЛДСП)</t>
  </si>
  <si>
    <t>Л.СУ-1.7 Л/Пр</t>
  </si>
  <si>
    <t>Шкаф высокий узкий левый/правый (1 средняя дверь ЛДСП, 1 низкая дверь стекло)</t>
  </si>
  <si>
    <t>Л.СУ-1.8 Л/Пр</t>
  </si>
  <si>
    <t>Шкаф высокий узкий левый/правый (1 средняя дверь ЛДСП, 1 низкая дверь ЛДСП)</t>
  </si>
  <si>
    <t>Л.СУ-1.9 Л/Пр</t>
  </si>
  <si>
    <t>Шкаф высокий узкий левый/правый (1 высокая дверь ЛДСП)</t>
  </si>
  <si>
    <t>Л.СТ-2.1</t>
  </si>
  <si>
    <t>Шкаф средний широкий (2 низкие двери ЛДСП)</t>
  </si>
  <si>
    <t>Л.СТ-2.2</t>
  </si>
  <si>
    <t>Шкаф средний широкий (2 низкие двери стекло)</t>
  </si>
  <si>
    <t>Л.СТ-2.3</t>
  </si>
  <si>
    <t>Шкаф средний широкий (2 средние двери ЛДСП)</t>
  </si>
  <si>
    <t>Л.СТ-2.4</t>
  </si>
  <si>
    <t>Шкаф средний широкий (2 средние двери стекло)</t>
  </si>
  <si>
    <t>Л.СУ-2.1 Л/Пр</t>
  </si>
  <si>
    <t>Шкаф средний узкий левый/правый (1 низкая дверь ЛДСП)</t>
  </si>
  <si>
    <t>Л.СУ-2.2 Л/Пр</t>
  </si>
  <si>
    <t>Шкаф средний узкий левый/правый (1 низкая дверь стекло)</t>
  </si>
  <si>
    <t>Л.СУ-2.3 Л/Пр</t>
  </si>
  <si>
    <t>Шкаф средний узкий левый/правый (1 средняя дверь ЛДСП)</t>
  </si>
  <si>
    <t>Л.СУ-2.4 Л/Пр</t>
  </si>
  <si>
    <t>Шкаф средний узкий левый/правый (1 средняя дверь стекло)</t>
  </si>
  <si>
    <t>Л.СТ-3.1</t>
  </si>
  <si>
    <t>Шкаф низкий широкий (2 низкие двери ЛДСП)</t>
  </si>
  <si>
    <t>Л.СТ-3.2</t>
  </si>
  <si>
    <t>Шкаф низкий широкий (2 низкие двери стекло)</t>
  </si>
  <si>
    <t>Л.СУ-3.1 Л/Пр</t>
  </si>
  <si>
    <t>Шкаф низкий узкий левый/правый (1 низкая дверь ЛДСП)</t>
  </si>
  <si>
    <t>Л.СУ-3.2 Л/Пр</t>
  </si>
  <si>
    <t>Шкаф низкий узкий левый/правый (1 низкая дверь стекло)</t>
  </si>
  <si>
    <t>Л.ПР-2</t>
  </si>
  <si>
    <t>Приставка</t>
  </si>
  <si>
    <t>720*402*22</t>
  </si>
  <si>
    <t>Л.ПР-2.1</t>
  </si>
  <si>
    <t>600*400*22</t>
  </si>
  <si>
    <t>Л.ПР-3</t>
  </si>
  <si>
    <t>720*720*22</t>
  </si>
  <si>
    <t>Л.ПР-4</t>
  </si>
  <si>
    <t>600*600*22</t>
  </si>
  <si>
    <t>Л.ПР-5</t>
  </si>
  <si>
    <t>600*720*22</t>
  </si>
  <si>
    <t>Л.ПР-6</t>
  </si>
  <si>
    <t>1200*600*22</t>
  </si>
  <si>
    <t>Л.ПР-7</t>
  </si>
  <si>
    <t>1440*720*22</t>
  </si>
  <si>
    <t>Л.ПР-8</t>
  </si>
  <si>
    <t>1225*610*22</t>
  </si>
  <si>
    <t>Л.ПР-9</t>
  </si>
  <si>
    <t>1465*730*22</t>
  </si>
  <si>
    <t>Л.ПР-10</t>
  </si>
  <si>
    <t>900*452*22</t>
  </si>
  <si>
    <t>А.ВТ-710</t>
  </si>
  <si>
    <t>Опора металлическая (хром)</t>
  </si>
  <si>
    <t>60*60*710</t>
  </si>
  <si>
    <t>Л.ПНС-1</t>
  </si>
  <si>
    <t>Полка навесная</t>
  </si>
  <si>
    <t>1000*336*540</t>
  </si>
  <si>
    <t>Л.НС-2</t>
  </si>
  <si>
    <t>Надставка на стол</t>
  </si>
  <si>
    <t>1180*300*420</t>
  </si>
  <si>
    <t>Л.НС-3</t>
  </si>
  <si>
    <t>1440*300*420</t>
  </si>
  <si>
    <t>Л.СБ-1</t>
  </si>
  <si>
    <t>Подставка под системный блок</t>
  </si>
  <si>
    <t>284*450*342</t>
  </si>
  <si>
    <t xml:space="preserve"> PM-LBFI60-05</t>
  </si>
  <si>
    <t>Заглушка кабель-канала "Люкс"</t>
  </si>
  <si>
    <t>D-60</t>
  </si>
  <si>
    <t>Я3-2R/4С</t>
  </si>
  <si>
    <t>Ящик для стекол (4 низкие двери стекло)</t>
  </si>
  <si>
    <t>Я3-6R/10С</t>
  </si>
  <si>
    <t>Ящик для стекол (10 низких дверей стекло)</t>
  </si>
  <si>
    <t>Я2-2R/4С</t>
  </si>
  <si>
    <t>Ящик для стекол (4 средние двери стекло)</t>
  </si>
  <si>
    <t>Я2-6R/10С</t>
  </si>
  <si>
    <t>Ящик для стекол (10 средних дверей стекло)</t>
  </si>
  <si>
    <t>Стойка-ресепшн "STYLE"</t>
  </si>
  <si>
    <t xml:space="preserve">Исполнение: ЛДСП толщиной 18, 22, 36 мм, производство - "Kronospan". </t>
  </si>
  <si>
    <t>Гостевая столешница - ЛДСП толщиной 36 мм.</t>
  </si>
  <si>
    <t>Рабочая столешница и боковины - ЛДСП толщиной 22 мм.</t>
  </si>
  <si>
    <t>Остальные детали изделий - ЛДСП толщиной 18 мм.</t>
  </si>
  <si>
    <t>Цвета: Вяз Благородный/Белый; Акация Лорка/Белый; Дуб Наварра/Белый.</t>
  </si>
  <si>
    <t>Л.МП-1</t>
  </si>
  <si>
    <t>Модуль прямой</t>
  </si>
  <si>
    <t>800*736*1156</t>
  </si>
  <si>
    <t>Л.МП-2</t>
  </si>
  <si>
    <t>1000*736*1156</t>
  </si>
  <si>
    <t>Л.МП-3</t>
  </si>
  <si>
    <t>1200*736*1156</t>
  </si>
  <si>
    <t>Л.МП-4</t>
  </si>
  <si>
    <t>1400*736*1156</t>
  </si>
  <si>
    <t>Л.МП-5</t>
  </si>
  <si>
    <t>1600*736*1156</t>
  </si>
  <si>
    <t>Л.УМ-1 Л</t>
  </si>
  <si>
    <t>Угловой модуль левый</t>
  </si>
  <si>
    <t>736*736*1156</t>
  </si>
  <si>
    <t>Л.УМ-1 Пр</t>
  </si>
  <si>
    <t>Угловой модуль правый</t>
  </si>
  <si>
    <t>Л.Б Л</t>
  </si>
  <si>
    <t>Боковина левая</t>
  </si>
  <si>
    <t>741*22*1159</t>
  </si>
  <si>
    <t>Л.Б Пр</t>
  </si>
  <si>
    <t>Боковина правая</t>
  </si>
  <si>
    <t>Л.БУ Л</t>
  </si>
  <si>
    <t>Боковина узкая левая</t>
  </si>
  <si>
    <t>305*22*1159</t>
  </si>
  <si>
    <t>Л.БУ Пр</t>
  </si>
  <si>
    <t>Боковина узкая правая</t>
  </si>
  <si>
    <t>Л.Н-1</t>
  </si>
  <si>
    <t>Накладка для Л.МП-1</t>
  </si>
  <si>
    <t>360*321*536</t>
  </si>
  <si>
    <t>Л.Н-2</t>
  </si>
  <si>
    <t>Накладка для Л.МП-2</t>
  </si>
  <si>
    <t>560*321*536</t>
  </si>
  <si>
    <t>Л.Н-3</t>
  </si>
  <si>
    <t>Накладка для Л.МП-3</t>
  </si>
  <si>
    <t>760*321*536</t>
  </si>
  <si>
    <t>Л.Н-4</t>
  </si>
  <si>
    <t>Накладка для Л.МП-4</t>
  </si>
  <si>
    <t>960*321*536</t>
  </si>
  <si>
    <t>Л.Н-5</t>
  </si>
  <si>
    <t>Накладка для Л.МП-5</t>
  </si>
  <si>
    <t>1160*321*536</t>
  </si>
  <si>
    <t>Л.Н-1С</t>
  </si>
  <si>
    <t>Накладка с подсветкой для Л.МП-1</t>
  </si>
  <si>
    <t>Л.Н-2С</t>
  </si>
  <si>
    <t>Накладка с подсветкой для Л.МП-2</t>
  </si>
  <si>
    <t>Л.Н-3С</t>
  </si>
  <si>
    <t>Накладка с подсветкой для Л.МП-3</t>
  </si>
  <si>
    <t>Л.Н-4С</t>
  </si>
  <si>
    <t>Накладка с подсветкой для Л.МП-4</t>
  </si>
  <si>
    <t>Л.Н-5С</t>
  </si>
  <si>
    <t>Накладка с подсветкой для Л.МП-5</t>
  </si>
  <si>
    <t>ОБ-76</t>
  </si>
  <si>
    <t>Опора металлическая (цвет - Черный, Белый, Антрацит, Серый, Латте, Капучино)</t>
  </si>
  <si>
    <t>D = 76 мм; H = 728 мм</t>
  </si>
  <si>
    <t>Л.РН-1</t>
  </si>
  <si>
    <t>Набор вариант №1</t>
  </si>
  <si>
    <t>1044*736*1156</t>
  </si>
  <si>
    <t>Л.РН-2</t>
  </si>
  <si>
    <t>Набор вариант №2</t>
  </si>
  <si>
    <t>2472*736*1156</t>
  </si>
  <si>
    <t>Л.РН-3</t>
  </si>
  <si>
    <t>Набор вариант №3</t>
  </si>
  <si>
    <t>2044*1758*1156</t>
  </si>
  <si>
    <t>Л.РН-4</t>
  </si>
  <si>
    <t>Набор вариант №4</t>
  </si>
  <si>
    <t>1758*1758*1156</t>
  </si>
  <si>
    <t>Л.РН-5</t>
  </si>
  <si>
    <t>Набор вариант №5</t>
  </si>
  <si>
    <t>2472*758*1156</t>
  </si>
  <si>
    <t>Л.ГБ-2К</t>
  </si>
  <si>
    <t>Каркас гардероба Л.ГБ-2</t>
  </si>
  <si>
    <t>Л.ГБ-4К</t>
  </si>
  <si>
    <t>Каркас гардероба Л.ГБ-4К</t>
  </si>
  <si>
    <t>Л.Д-1 Л/Пр</t>
  </si>
  <si>
    <t>Дверь высокая ЛДСП левая/правая (для Л.ГБ-2, Л.СТ-1, Л.СУ-1 и Л.ГБ-4)</t>
  </si>
  <si>
    <t>361*1916*18</t>
  </si>
  <si>
    <t>Л.Д-2 Л/Пр</t>
  </si>
  <si>
    <t>Дверь средняя ЛДСП левая/правая (для Л.СТ-1, Л.СУ-1, Л.СТ-2, Л.СУ-2)</t>
  </si>
  <si>
    <t>361*1151*18</t>
  </si>
  <si>
    <t>Л.Д-3 Л/Пр</t>
  </si>
  <si>
    <t>Дверь низкая ЛДСП левая/правая (для Л.СТ-1, Л.СУ-1, Л.СТ-2, Л.СТ-3, Л.СУ-2, Л.СУ-3)</t>
  </si>
  <si>
    <t>361*764*18</t>
  </si>
  <si>
    <t>Л.С-2</t>
  </si>
  <si>
    <t>Дверь средняя стекло (для Л.СТ-1, Л.СУ-1, Л.СТ-2, Л.СУ-2)</t>
  </si>
  <si>
    <t>361*1151*4</t>
  </si>
  <si>
    <t>Л.С-3</t>
  </si>
  <si>
    <t>Дверь низкая стекло (для Л.СТ-1,  Л.СТ-2,  Л.СТ-3, Л.СУ-1,  Л.СУ-2, Л.СУ-3)</t>
  </si>
  <si>
    <t>361*764*4</t>
  </si>
  <si>
    <t>Для Л.С-2</t>
  </si>
  <si>
    <t>Комплект фурнитуры для одного стекла</t>
  </si>
  <si>
    <t>Для Л.С-3</t>
  </si>
  <si>
    <t>Коэффициент</t>
  </si>
  <si>
    <t>Цена с учетом коэффициента (руб.)</t>
  </si>
  <si>
    <t>Наименование ЭЛЕМЕНТА №1</t>
  </si>
  <si>
    <t>Размер</t>
  </si>
  <si>
    <t>Кол-во</t>
  </si>
  <si>
    <t>Цена</t>
  </si>
  <si>
    <t>Наименование ЭЛЕМЕНТА №2</t>
  </si>
  <si>
    <t>Наименование ЭЛЕМЕНТА №3</t>
  </si>
  <si>
    <t>Наименование ЭЛЕМЕНТА №4</t>
  </si>
  <si>
    <t>Наименование ЭЛЕМЕНТА №5</t>
  </si>
  <si>
    <t>Наименование ЭЛЕМЕНТА №6</t>
  </si>
  <si>
    <t>УТ-00001533</t>
  </si>
  <si>
    <t>УТ-00001534</t>
  </si>
  <si>
    <t>УТ-00001531</t>
  </si>
  <si>
    <t>УТ-00001535</t>
  </si>
  <si>
    <t>Л.СА-1 (L)</t>
  </si>
  <si>
    <t>УТ-00001536</t>
  </si>
  <si>
    <t>Л.СА-1 (R)</t>
  </si>
  <si>
    <t>УТ-00001537</t>
  </si>
  <si>
    <t>Л.СА-2 (L)</t>
  </si>
  <si>
    <t>УТ-00001482</t>
  </si>
  <si>
    <t>Л.СА-2 (R)</t>
  </si>
  <si>
    <t>УТ-00001521</t>
  </si>
  <si>
    <t>Л.СА-3 (L)</t>
  </si>
  <si>
    <t>УТ-00001538</t>
  </si>
  <si>
    <t>Л.СА-3 (R)</t>
  </si>
  <si>
    <t>УТ-00001539</t>
  </si>
  <si>
    <t>Л.СА-4 (L)</t>
  </si>
  <si>
    <t>УТ-00001540</t>
  </si>
  <si>
    <t>Л.СА-4 (R)</t>
  </si>
  <si>
    <t>УТ-00001541</t>
  </si>
  <si>
    <t>УТ-00001542</t>
  </si>
  <si>
    <t>ЦБ-00032906</t>
  </si>
  <si>
    <t>ЦБ-00032909</t>
  </si>
  <si>
    <t>ЦБ-00032912</t>
  </si>
  <si>
    <t>ЦБ-00032914</t>
  </si>
  <si>
    <t>ЦБ-00032916</t>
  </si>
  <si>
    <t>УТ-00001568</t>
  </si>
  <si>
    <t>ЦБ-00007032</t>
  </si>
  <si>
    <t>УТ-00001563</t>
  </si>
  <si>
    <t>УТ-00001566</t>
  </si>
  <si>
    <t>УТ-00001561</t>
  </si>
  <si>
    <t>УТ-00001565</t>
  </si>
  <si>
    <t>УТ-00001567</t>
  </si>
  <si>
    <t>Гардероб узкий (выдвижная вешалка)</t>
  </si>
  <si>
    <t>ЦБ-00003116</t>
  </si>
  <si>
    <t>Гардероб глубокий(вешалка-штанга)</t>
  </si>
  <si>
    <t>ЦБ-00013106</t>
  </si>
  <si>
    <t>ЦБ-00013107</t>
  </si>
  <si>
    <t>ЦБ-00013108</t>
  </si>
  <si>
    <t>ЦБ-00013109</t>
  </si>
  <si>
    <t>ЦБ-00013110</t>
  </si>
  <si>
    <t>ЦБ-00013111</t>
  </si>
  <si>
    <t>ЦБ-00013112</t>
  </si>
  <si>
    <t>ЦБ-00013113</t>
  </si>
  <si>
    <t>ЦБ-00013114</t>
  </si>
  <si>
    <t>ЦБ-00013115</t>
  </si>
  <si>
    <t>ЦБ-00013116</t>
  </si>
  <si>
    <t>ЦБ-00068054</t>
  </si>
  <si>
    <t>ЦБ-00068059</t>
  </si>
  <si>
    <t>ЦБ-00068064</t>
  </si>
  <si>
    <t>ЦБ-00068069</t>
  </si>
  <si>
    <t>Л.СУ-1.1 (L)</t>
  </si>
  <si>
    <t>ЦБ-00013165</t>
  </si>
  <si>
    <t xml:space="preserve">Л.СУ-1.1 (R) </t>
  </si>
  <si>
    <t>ЦБ-00013166</t>
  </si>
  <si>
    <t>Л.СУ-1.2 (L)</t>
  </si>
  <si>
    <t>ЦБ-00013167</t>
  </si>
  <si>
    <t xml:space="preserve">Л.СУ-1.2 (R) </t>
  </si>
  <si>
    <t>ЦБ-00013168</t>
  </si>
  <si>
    <t>Л.СУ-1.3 (L)</t>
  </si>
  <si>
    <t>ЦБ-00013170</t>
  </si>
  <si>
    <t xml:space="preserve">Л.СУ-1.3 (R) </t>
  </si>
  <si>
    <t>ЦБ-00013169</t>
  </si>
  <si>
    <t>Л.СУ-1.4 (L)</t>
  </si>
  <si>
    <t>ЦБ-00013171</t>
  </si>
  <si>
    <t xml:space="preserve">Л.СУ-1.4 (R) </t>
  </si>
  <si>
    <t>ЦБ-00013172</t>
  </si>
  <si>
    <t>Л.СУ-1.5 (L)</t>
  </si>
  <si>
    <t>ЦБ-00013173</t>
  </si>
  <si>
    <t xml:space="preserve">Л.СУ-1.5 (R) </t>
  </si>
  <si>
    <t>ЦБ-00013174</t>
  </si>
  <si>
    <t>Л.СУ-1.6 (L)</t>
  </si>
  <si>
    <t>ЦБ-00013175</t>
  </si>
  <si>
    <t xml:space="preserve">Л.СУ-1.6 (R) </t>
  </si>
  <si>
    <t>ЦБ-00013176</t>
  </si>
  <si>
    <t>Л.СУ-1.7 (L)</t>
  </si>
  <si>
    <t>ЦБ-00013178</t>
  </si>
  <si>
    <t xml:space="preserve">Л.СУ-1.7 (R) </t>
  </si>
  <si>
    <t>ЦБ-00013177</t>
  </si>
  <si>
    <t>Л.СУ-1.8 (L)</t>
  </si>
  <si>
    <t>ЦБ-00013180</t>
  </si>
  <si>
    <t xml:space="preserve">Л.СУ-1.8 (R) </t>
  </si>
  <si>
    <t>ЦБ-00013179</t>
  </si>
  <si>
    <t>Л.СУ-1.9 (L)</t>
  </si>
  <si>
    <t>ЦБ-00013181</t>
  </si>
  <si>
    <t xml:space="preserve">Л.СУ-1.9 (R) </t>
  </si>
  <si>
    <t>ЦБ-00013182</t>
  </si>
  <si>
    <t>ЦБ-00013135</t>
  </si>
  <si>
    <t>ЦБ-00013136</t>
  </si>
  <si>
    <t>ЦБ-00013137</t>
  </si>
  <si>
    <t>ЦБ-00013138</t>
  </si>
  <si>
    <t>Л.СУ-2.1 (L)</t>
  </si>
  <si>
    <t>ЦБ-00013187</t>
  </si>
  <si>
    <t>Л.СУ-2.1 ®</t>
  </si>
  <si>
    <t>ЦБ-00013188</t>
  </si>
  <si>
    <t>Л.СУ-2.2 (L)</t>
  </si>
  <si>
    <t>ЦБ-00013190</t>
  </si>
  <si>
    <t xml:space="preserve">Л.СУ-2.2 (R) </t>
  </si>
  <si>
    <t>ЦБ-00013189</t>
  </si>
  <si>
    <t>Л.СУ-2.3 (L)</t>
  </si>
  <si>
    <t>ЦБ-00013191</t>
  </si>
  <si>
    <t xml:space="preserve">Л.СУ-2.3 (R) </t>
  </si>
  <si>
    <t>ЦБ-00013192</t>
  </si>
  <si>
    <t>Л.СУ-2.4 (L)</t>
  </si>
  <si>
    <t>ЦБ-00013193</t>
  </si>
  <si>
    <t xml:space="preserve">Л.СУ-2.4 (R) </t>
  </si>
  <si>
    <t>ЦБ-00013194</t>
  </si>
  <si>
    <t>ЦБ-00013151</t>
  </si>
  <si>
    <t>ЦБ-00013152</t>
  </si>
  <si>
    <t>Л.СУ-3.1 (L)</t>
  </si>
  <si>
    <t>Шкаф низкий узкий (1 низкая дверь ЛДСП)</t>
  </si>
  <si>
    <t>ЦБ-00013197</t>
  </si>
  <si>
    <t xml:space="preserve">Л.СУ-3.1 (R) </t>
  </si>
  <si>
    <t>ЦБ-00013198</t>
  </si>
  <si>
    <t>Л.СУ-3.2 (L)</t>
  </si>
  <si>
    <t>Шкаф низкий узкий (1 низкая дверь стекло)</t>
  </si>
  <si>
    <t>ЦБ-00013200</t>
  </si>
  <si>
    <t xml:space="preserve">Л.СУ-3.2 (R) </t>
  </si>
  <si>
    <t>ЦБ-00013199</t>
  </si>
  <si>
    <t>УТ-00001573</t>
  </si>
  <si>
    <t>УТ-00001574</t>
  </si>
  <si>
    <t>УТ-00001575</t>
  </si>
  <si>
    <t>УТ-00002043</t>
  </si>
  <si>
    <t>УТ-00004015</t>
  </si>
  <si>
    <t>УТ-00001576</t>
  </si>
  <si>
    <t>УТ-00001577</t>
  </si>
  <si>
    <t>УТ-00003635</t>
  </si>
  <si>
    <t>УТ-00003636</t>
  </si>
  <si>
    <t>УТ-00001578</t>
  </si>
  <si>
    <t>00000007940</t>
  </si>
  <si>
    <t>УТ-00001571</t>
  </si>
  <si>
    <t>УТ-00001569</t>
  </si>
  <si>
    <t>УТ-00001570</t>
  </si>
  <si>
    <t>УТ-00001572</t>
  </si>
  <si>
    <t>УТ-00001844</t>
  </si>
  <si>
    <t>ЦБ-00005173</t>
  </si>
  <si>
    <t>ЦБ-00005174</t>
  </si>
  <si>
    <t>ЦБ-00005175</t>
  </si>
  <si>
    <t>ЦБ-00005176</t>
  </si>
  <si>
    <t>УТ-00001557</t>
  </si>
  <si>
    <t>УТ-00001727</t>
  </si>
  <si>
    <t>Л.Д-1 (L)</t>
  </si>
  <si>
    <t>УТ-00001630</t>
  </si>
  <si>
    <t xml:space="preserve">Л.Д-1 (R) </t>
  </si>
  <si>
    <t>УТ-00001631</t>
  </si>
  <si>
    <t>Л.Д-2 (L)</t>
  </si>
  <si>
    <t>Дверь средняя ЛДСП (для Л.СТ-1, Л.СУ-1, Л.СТ-2, Л.СУ-2)</t>
  </si>
  <si>
    <t>УТ-00001632</t>
  </si>
  <si>
    <t xml:space="preserve">Л.Д-2 (R) </t>
  </si>
  <si>
    <t>Л.Д-3 (L)</t>
  </si>
  <si>
    <t>Дверь низкая ЛДСП (для Л.СТ-1, Л.СУ-1, Л.СТ-2, Л.СТ-3, Л.СУ-2, Л.СУ-3)</t>
  </si>
  <si>
    <t>УТ-00001634</t>
  </si>
  <si>
    <t xml:space="preserve">Л.Д-3 (R) </t>
  </si>
  <si>
    <t>УТ-00001635</t>
  </si>
  <si>
    <t>Л.С-2 (L)</t>
  </si>
  <si>
    <t>УТ-00001597</t>
  </si>
  <si>
    <t xml:space="preserve">Л.С-2  (R) </t>
  </si>
  <si>
    <t>Л.С-3 (L)</t>
  </si>
  <si>
    <t>УТ-00001600</t>
  </si>
  <si>
    <t xml:space="preserve">Л.С-3  (R) </t>
  </si>
  <si>
    <t>УТ-00001601</t>
  </si>
  <si>
    <t>УТ-00001649</t>
  </si>
  <si>
    <t>ЦБ-00001024</t>
  </si>
  <si>
    <t>ЦБ-00001025</t>
  </si>
  <si>
    <t>ЦБ-00001026</t>
  </si>
  <si>
    <t>ЦБ-00001027</t>
  </si>
  <si>
    <t>ЦБ-00001028</t>
  </si>
  <si>
    <t>Л.УМ-1 (L)</t>
  </si>
  <si>
    <t>ЦБ-00001029</t>
  </si>
  <si>
    <t>Л.УМ-1 (R)</t>
  </si>
  <si>
    <t>ЦБ-00001030</t>
  </si>
  <si>
    <t>Л.Б (L)</t>
  </si>
  <si>
    <t>ЦБ-00001031</t>
  </si>
  <si>
    <t>Л.Б (R)</t>
  </si>
  <si>
    <t>ЦБ-00001032</t>
  </si>
  <si>
    <t>Л.БУ (L)</t>
  </si>
  <si>
    <t>ЦБ-00050370</t>
  </si>
  <si>
    <t>Л.БУ (R)</t>
  </si>
  <si>
    <t>ЦБ-00054726</t>
  </si>
  <si>
    <t>Накладка для Л.ПМ-1</t>
  </si>
  <si>
    <t>ЦБ-00001033</t>
  </si>
  <si>
    <t>Накладка для Л.ПМ-2</t>
  </si>
  <si>
    <t>ЦБ-00001034</t>
  </si>
  <si>
    <t>Накладка для Л.ПМ-3</t>
  </si>
  <si>
    <t>ЦБ-00001035</t>
  </si>
  <si>
    <t>Накладка для Л.ПМ-4</t>
  </si>
  <si>
    <t>ЦБ-00001036</t>
  </si>
  <si>
    <t>Накладка для Л.ПМ-5</t>
  </si>
  <si>
    <t>ЦБ-00001037</t>
  </si>
  <si>
    <t>ЦБ-00004892</t>
  </si>
  <si>
    <t>ЦБ-00004893</t>
  </si>
  <si>
    <t>ЦБ-00004894</t>
  </si>
  <si>
    <t>ЦБ-00004895</t>
  </si>
  <si>
    <t>ЦБ-00004896</t>
  </si>
  <si>
    <t>Опора металлическая (цвет - белый)</t>
  </si>
  <si>
    <t>D=76мм; H=728мм</t>
  </si>
  <si>
    <t>ЦБ-00001039</t>
  </si>
  <si>
    <t>Тумба подкатная 3 ящ. без фолдинга</t>
  </si>
  <si>
    <t>ЦБ-00032908</t>
  </si>
  <si>
    <t>Ф1248</t>
  </si>
  <si>
    <t xml:space="preserve"> Комплект Фолдинг Ф1248 (на 3 ящика)</t>
  </si>
  <si>
    <t>400*347*100</t>
  </si>
  <si>
    <t>ЦБ-00005020</t>
  </si>
  <si>
    <t>Тумба подкатная 4 ящ. без фолдинга</t>
  </si>
  <si>
    <t>ЦБ-00032910</t>
  </si>
  <si>
    <t>Ф1249</t>
  </si>
  <si>
    <t xml:space="preserve"> Комплект Фолдинг Ф1249 (на 4 ящика)</t>
  </si>
  <si>
    <t>ЦБ-00027124</t>
  </si>
  <si>
    <t>Тумба приставная без фолдинга</t>
  </si>
  <si>
    <t>ЦБ-00032913</t>
  </si>
  <si>
    <t>ЦБ-00033117</t>
  </si>
  <si>
    <t>ЦБ-00033118</t>
  </si>
  <si>
    <t>ЛШК-1 Т 1/2</t>
  </si>
  <si>
    <t xml:space="preserve"> Каркас </t>
  </si>
  <si>
    <t>1200*410*1975</t>
  </si>
  <si>
    <t>ЦБ-00068014</t>
  </si>
  <si>
    <t>ЛШК-1 Т 2/2</t>
  </si>
  <si>
    <t xml:space="preserve"> Двери зад. стенка </t>
  </si>
  <si>
    <t>ЦБ-00068015</t>
  </si>
  <si>
    <t>ЛШК-2 Т 1/2</t>
  </si>
  <si>
    <t>1200*410*1200</t>
  </si>
  <si>
    <t>ЦБ-00068016</t>
  </si>
  <si>
    <t>ЛШК-2 Т 2/2</t>
  </si>
  <si>
    <t>ЦБ-00068017</t>
  </si>
  <si>
    <t>ЛШК-3.1 Т 1/2</t>
  </si>
  <si>
    <t>1200*410*755</t>
  </si>
  <si>
    <t>ЦБ-00068018</t>
  </si>
  <si>
    <t>ЛШК-3.1 Т 2/2</t>
  </si>
  <si>
    <t>ЦБ-00068019</t>
  </si>
  <si>
    <t>ЛШК-3.2 Т 1/2</t>
  </si>
  <si>
    <t>1440*410*755</t>
  </si>
  <si>
    <t>ЦБ-00068020</t>
  </si>
  <si>
    <t>ЛШК-3.2 Т 2/2</t>
  </si>
  <si>
    <t>ЦБ-00068021</t>
  </si>
  <si>
    <t>Столешница круглая</t>
  </si>
  <si>
    <t>Столешница квадратная</t>
  </si>
  <si>
    <t>Столешница овальная</t>
  </si>
  <si>
    <t>Столешница прямоугольная</t>
  </si>
  <si>
    <t>КРУГ.ОСН-49</t>
  </si>
  <si>
    <t>Основание стола круглое D=490*8</t>
  </si>
  <si>
    <t>ИК-00000537</t>
  </si>
  <si>
    <t>КВАД.ОСН-49</t>
  </si>
  <si>
    <t>Основание стола квадратное</t>
  </si>
  <si>
    <t>ИК-00000538</t>
  </si>
  <si>
    <t>КРУГ.ОП-7</t>
  </si>
  <si>
    <t>Опора стола круглая</t>
  </si>
  <si>
    <t>D=76x711</t>
  </si>
  <si>
    <t>ИК-00000543</t>
  </si>
  <si>
    <t>КВАД.ОП-7</t>
  </si>
  <si>
    <t>Опора стола квадратная</t>
  </si>
  <si>
    <t>100x100x711</t>
  </si>
  <si>
    <t>ИК-00000541</t>
  </si>
  <si>
    <t>Ресепшен наборы</t>
  </si>
  <si>
    <t>ЦБ-00167868</t>
  </si>
  <si>
    <t>2472*1758*1156</t>
  </si>
  <si>
    <t>ЦБ-00167870</t>
  </si>
  <si>
    <t>2044*736*1156</t>
  </si>
  <si>
    <t>ЦБ-00167871</t>
  </si>
  <si>
    <t>ЦБ-00167872</t>
  </si>
  <si>
    <t>ЦБ-00167873</t>
  </si>
  <si>
    <t>Л.РН-6</t>
  </si>
  <si>
    <t>Набор вариант №6</t>
  </si>
  <si>
    <t>1472*758*1156</t>
  </si>
  <si>
    <t>ЦБ-00167874</t>
  </si>
  <si>
    <t>KKV</t>
  </si>
  <si>
    <t>Кабель-канал вертикальный (цвет - серебристый металлик)</t>
  </si>
  <si>
    <t>L = 780 мм</t>
  </si>
  <si>
    <t>Л.СЖ-1</t>
  </si>
  <si>
    <t>Стол журнальный круглый</t>
  </si>
  <si>
    <t>600*600*450</t>
  </si>
  <si>
    <t>Л.СЖ-2</t>
  </si>
  <si>
    <t>Стол журнальный квадратный</t>
  </si>
  <si>
    <t>Л.СПРГ-1</t>
  </si>
  <si>
    <t>900*900*750</t>
  </si>
  <si>
    <t>Л.СПРГ-2</t>
  </si>
  <si>
    <t>Л.СПРГ-3</t>
  </si>
  <si>
    <t>Л.СПРГ-4</t>
  </si>
  <si>
    <t>UNE.SSJ-1.22</t>
  </si>
  <si>
    <t>Столешница круглая стола журнального</t>
  </si>
  <si>
    <t>UNE.SSJ-2.22</t>
  </si>
  <si>
    <t>Столешница квадратная стола журнального</t>
  </si>
  <si>
    <t>UNE.SSPRG-1.22</t>
  </si>
  <si>
    <t>900*900*22</t>
  </si>
  <si>
    <t>UNE.SSPRG-2.22</t>
  </si>
  <si>
    <t>UNE.SSPRG-3.22</t>
  </si>
  <si>
    <t>1800*900*22</t>
  </si>
  <si>
    <t>UNE.SSPRG-4.22</t>
  </si>
  <si>
    <t>КРУГ.ОП-4</t>
  </si>
  <si>
    <t>D = 76*411</t>
  </si>
  <si>
    <t>ИК-00000544</t>
  </si>
  <si>
    <t>КВАД.ОП-4</t>
  </si>
  <si>
    <t>100*100*411</t>
  </si>
  <si>
    <t>ИК-00000542</t>
  </si>
  <si>
    <t>КРУГ.ОСН-36</t>
  </si>
  <si>
    <t>Основание стола круглое D = 360*8</t>
  </si>
  <si>
    <t>360*360*8</t>
  </si>
  <si>
    <t>ИК-00000540</t>
  </si>
  <si>
    <t>КВАД.ОСН-36</t>
  </si>
  <si>
    <t>ИК-00000539</t>
  </si>
  <si>
    <t>361*1916x18</t>
  </si>
  <si>
    <t>361*1151x18</t>
  </si>
  <si>
    <t>361*764x18</t>
  </si>
  <si>
    <t>361*1151x4</t>
  </si>
  <si>
    <t>361*764x4</t>
  </si>
  <si>
    <t>490*490*8</t>
  </si>
  <si>
    <t>ЦБ-00009222</t>
  </si>
  <si>
    <t>ЦБ-00753158</t>
  </si>
  <si>
    <t>ЦБ-00753159</t>
  </si>
  <si>
    <t>ЦБ-00753160</t>
  </si>
  <si>
    <t>ЦБ-00753161</t>
  </si>
  <si>
    <t>ЦБ-00753162</t>
  </si>
  <si>
    <t>ЦБ-00753163</t>
  </si>
  <si>
    <t>ЦБ-00757195</t>
  </si>
  <si>
    <t>ЦБ-00757196</t>
  </si>
  <si>
    <t>ЦБ-00757197</t>
  </si>
  <si>
    <t>ЦБ-00757198</t>
  </si>
  <si>
    <t>ЦБ-00757199</t>
  </si>
  <si>
    <t>ЦБ-00757200</t>
  </si>
  <si>
    <t>Измененен: 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</si>
</sst>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dd\.mm\.yyyy"/>
    <numFmt numFmtId="166" formatCode="#\ ##0\ _₽"/>
  </numFmts>
  <fonts count="25" x14ac:knownFonts="1">
    <font>
      <sz val="10"/>
      <name val="Arial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4"/>
      <color indexed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</font>
    <font>
      <sz val="8"/>
      <color indexed="63"/>
      <name val="Arial"/>
      <family val="2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6" fillId="0" borderId="0"/>
    <xf numFmtId="0" fontId="19" fillId="0" borderId="0"/>
  </cellStyleXfs>
  <cellXfs count="207">
    <xf numFmtId="0" fontId="0" fillId="0" borderId="0" xfId="0"/>
    <xf numFmtId="0" fontId="1" fillId="0" borderId="0" xfId="0" applyFont="1" applyFill="1" applyAlignment="1">
      <alignment vertical="justify"/>
    </xf>
    <xf numFmtId="0" fontId="3" fillId="0" borderId="1" xfId="0" applyFont="1" applyFill="1" applyBorder="1" applyAlignment="1">
      <alignment horizontal="center" vertical="justify"/>
    </xf>
    <xf numFmtId="0" fontId="3" fillId="0" borderId="1" xfId="0" applyFont="1" applyFill="1" applyBorder="1" applyAlignment="1">
      <alignment horizontal="center" vertical="justify" wrapText="1"/>
    </xf>
    <xf numFmtId="0" fontId="5" fillId="0" borderId="1" xfId="0" applyFont="1" applyFill="1" applyBorder="1" applyAlignment="1">
      <alignment horizontal="left" vertical="justify" wrapText="1"/>
    </xf>
    <xf numFmtId="0" fontId="5" fillId="0" borderId="1" xfId="0" applyFont="1" applyFill="1" applyBorder="1" applyAlignment="1">
      <alignment horizontal="center" vertical="justify" wrapText="1"/>
    </xf>
    <xf numFmtId="0" fontId="5" fillId="0" borderId="1" xfId="0" applyFont="1" applyFill="1" applyBorder="1" applyAlignment="1">
      <alignment vertical="justify"/>
    </xf>
    <xf numFmtId="1" fontId="3" fillId="0" borderId="1" xfId="0" applyNumberFormat="1" applyFont="1" applyFill="1" applyBorder="1" applyAlignment="1">
      <alignment horizontal="center" vertical="justify"/>
    </xf>
    <xf numFmtId="1" fontId="5" fillId="0" borderId="1" xfId="0" applyNumberFormat="1" applyFont="1" applyFill="1" applyBorder="1" applyAlignment="1">
      <alignment horizontal="center" vertical="justify"/>
    </xf>
    <xf numFmtId="0" fontId="5" fillId="0" borderId="1" xfId="0" applyFont="1" applyFill="1" applyBorder="1" applyAlignment="1">
      <alignment horizontal="center" vertical="justify"/>
    </xf>
    <xf numFmtId="0" fontId="5" fillId="0" borderId="1" xfId="0" applyNumberFormat="1" applyFont="1" applyFill="1" applyBorder="1" applyAlignment="1">
      <alignment horizontal="right" vertical="justify" wrapText="1"/>
    </xf>
    <xf numFmtId="0" fontId="5" fillId="0" borderId="1" xfId="0" applyFont="1" applyFill="1" applyBorder="1" applyAlignment="1">
      <alignment horizontal="left" vertical="justify"/>
    </xf>
    <xf numFmtId="1" fontId="5" fillId="0" borderId="1" xfId="0" applyNumberFormat="1" applyFont="1" applyFill="1" applyBorder="1" applyAlignment="1">
      <alignment horizontal="left" vertical="justify"/>
    </xf>
    <xf numFmtId="0" fontId="3" fillId="0" borderId="2" xfId="0" applyFont="1" applyFill="1" applyBorder="1" applyAlignment="1">
      <alignment horizontal="center" vertical="justify"/>
    </xf>
    <xf numFmtId="0" fontId="5" fillId="0" borderId="1" xfId="0" applyFont="1" applyFill="1" applyBorder="1" applyAlignment="1">
      <alignment vertical="justify" wrapText="1"/>
    </xf>
    <xf numFmtId="164" fontId="5" fillId="0" borderId="1" xfId="0" applyNumberFormat="1" applyFont="1" applyFill="1" applyBorder="1" applyAlignment="1">
      <alignment horizontal="right" vertical="justify" wrapText="1"/>
    </xf>
    <xf numFmtId="0" fontId="7" fillId="0" borderId="1" xfId="0" applyFont="1" applyFill="1" applyBorder="1" applyAlignment="1">
      <alignment horizontal="center" vertical="justify" wrapText="1"/>
    </xf>
    <xf numFmtId="0" fontId="8" fillId="0" borderId="1" xfId="0" applyFont="1" applyFill="1" applyBorder="1" applyAlignment="1">
      <alignment vertical="justify" wrapText="1"/>
    </xf>
    <xf numFmtId="0" fontId="8" fillId="0" borderId="1" xfId="0" applyFont="1" applyFill="1" applyBorder="1" applyAlignment="1">
      <alignment horizontal="center" vertical="justify" wrapText="1"/>
    </xf>
    <xf numFmtId="164" fontId="8" fillId="0" borderId="1" xfId="0" applyNumberFormat="1" applyFont="1" applyFill="1" applyBorder="1" applyAlignment="1">
      <alignment horizontal="right" vertical="justify"/>
    </xf>
    <xf numFmtId="0" fontId="1" fillId="0" borderId="1" xfId="0" applyFont="1" applyFill="1" applyBorder="1" applyAlignment="1">
      <alignment vertical="justify"/>
    </xf>
    <xf numFmtId="0" fontId="10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justify"/>
    </xf>
    <xf numFmtId="0" fontId="10" fillId="0" borderId="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justify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11" fillId="2" borderId="16" xfId="0" applyFont="1" applyFill="1" applyBorder="1" applyAlignment="1" applyProtection="1">
      <alignment vertical="center"/>
    </xf>
    <xf numFmtId="0" fontId="11" fillId="2" borderId="17" xfId="0" applyFont="1" applyFill="1" applyBorder="1" applyAlignment="1" applyProtection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1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64" fontId="13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top"/>
    </xf>
    <xf numFmtId="0" fontId="14" fillId="0" borderId="22" xfId="0" applyFont="1" applyFill="1" applyBorder="1"/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vertical="top"/>
    </xf>
    <xf numFmtId="0" fontId="10" fillId="0" borderId="23" xfId="0" applyFont="1" applyFill="1" applyBorder="1" applyAlignment="1">
      <alignment horizontal="right" vertical="top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4" fontId="13" fillId="0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top"/>
    </xf>
    <xf numFmtId="0" fontId="13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top"/>
    </xf>
    <xf numFmtId="164" fontId="13" fillId="0" borderId="1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top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164" fontId="13" fillId="3" borderId="9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top"/>
    </xf>
    <xf numFmtId="1" fontId="10" fillId="0" borderId="1" xfId="0" applyNumberFormat="1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 wrapText="1"/>
    </xf>
    <xf numFmtId="1" fontId="10" fillId="0" borderId="11" xfId="0" applyNumberFormat="1" applyFont="1" applyFill="1" applyBorder="1" applyAlignment="1">
      <alignment horizontal="center" vertical="center"/>
    </xf>
    <xf numFmtId="1" fontId="13" fillId="0" borderId="10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0" fontId="0" fillId="0" borderId="0" xfId="0" applyFont="1" applyProtection="1"/>
    <xf numFmtId="166" fontId="13" fillId="0" borderId="0" xfId="0" applyNumberFormat="1" applyFont="1" applyFill="1" applyAlignment="1" applyProtection="1">
      <alignment vertical="top"/>
    </xf>
    <xf numFmtId="166" fontId="13" fillId="0" borderId="0" xfId="0" applyNumberFormat="1" applyFont="1" applyFill="1" applyAlignment="1" applyProtection="1">
      <alignment horizontal="right" vertical="top"/>
    </xf>
    <xf numFmtId="0" fontId="0" fillId="0" borderId="0" xfId="0" applyFont="1" applyFill="1" applyAlignment="1" applyProtection="1">
      <alignment vertical="center"/>
    </xf>
    <xf numFmtId="0" fontId="0" fillId="0" borderId="0" xfId="0" applyFill="1" applyProtection="1"/>
    <xf numFmtId="165" fontId="13" fillId="0" borderId="0" xfId="0" applyNumberFormat="1" applyFont="1" applyFill="1" applyAlignment="1" applyProtection="1">
      <alignment horizontal="right" vertical="top"/>
    </xf>
    <xf numFmtId="0" fontId="13" fillId="0" borderId="0" xfId="0" applyFont="1" applyFill="1" applyAlignment="1">
      <alignment horizontal="right" vertical="top"/>
    </xf>
    <xf numFmtId="0" fontId="14" fillId="0" borderId="19" xfId="0" applyFont="1" applyBorder="1"/>
    <xf numFmtId="0" fontId="10" fillId="0" borderId="20" xfId="0" applyFont="1" applyBorder="1" applyAlignment="1">
      <alignment vertical="top" wrapText="1"/>
    </xf>
    <xf numFmtId="0" fontId="10" fillId="0" borderId="20" xfId="0" applyFont="1" applyBorder="1" applyAlignment="1">
      <alignment horizontal="center" vertical="top"/>
    </xf>
    <xf numFmtId="0" fontId="10" fillId="0" borderId="20" xfId="0" applyFont="1" applyBorder="1" applyAlignment="1">
      <alignment vertical="top"/>
    </xf>
    <xf numFmtId="0" fontId="10" fillId="0" borderId="21" xfId="0" applyFont="1" applyBorder="1" applyAlignment="1">
      <alignment horizontal="right" vertical="top"/>
    </xf>
    <xf numFmtId="0" fontId="14" fillId="0" borderId="22" xfId="0" applyFont="1" applyBorder="1"/>
    <xf numFmtId="0" fontId="10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vertical="top"/>
    </xf>
    <xf numFmtId="0" fontId="10" fillId="0" borderId="23" xfId="0" applyFont="1" applyBorder="1" applyAlignment="1">
      <alignment horizontal="right" vertical="top"/>
    </xf>
    <xf numFmtId="0" fontId="14" fillId="0" borderId="30" xfId="0" applyFont="1" applyBorder="1"/>
    <xf numFmtId="0" fontId="10" fillId="0" borderId="31" xfId="0" applyFont="1" applyBorder="1" applyAlignment="1">
      <alignment vertical="top" wrapText="1"/>
    </xf>
    <xf numFmtId="0" fontId="10" fillId="0" borderId="31" xfId="0" applyFont="1" applyBorder="1" applyAlignment="1">
      <alignment horizontal="center" vertical="top"/>
    </xf>
    <xf numFmtId="0" fontId="10" fillId="0" borderId="31" xfId="0" applyFont="1" applyBorder="1" applyAlignment="1">
      <alignment vertical="top"/>
    </xf>
    <xf numFmtId="0" fontId="10" fillId="0" borderId="32" xfId="0" applyFont="1" applyBorder="1" applyAlignment="1">
      <alignment horizontal="right" vertical="top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Fill="1" applyBorder="1" applyAlignment="1">
      <alignment horizontal="center" vertical="center" wrapText="1"/>
    </xf>
    <xf numFmtId="164" fontId="13" fillId="0" borderId="37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vertical="top"/>
    </xf>
    <xf numFmtId="164" fontId="13" fillId="0" borderId="7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7" fillId="0" borderId="11" xfId="0" applyFont="1" applyFill="1" applyBorder="1" applyAlignment="1">
      <alignment vertical="center" wrapText="1"/>
    </xf>
    <xf numFmtId="0" fontId="17" fillId="0" borderId="11" xfId="0" applyFont="1" applyFill="1" applyBorder="1" applyAlignment="1">
      <alignment horizontal="center" vertical="center" wrapText="1"/>
    </xf>
    <xf numFmtId="1" fontId="13" fillId="0" borderId="38" xfId="0" applyNumberFormat="1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left" vertical="center" wrapText="1"/>
    </xf>
    <xf numFmtId="1" fontId="10" fillId="0" borderId="28" xfId="0" applyNumberFormat="1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vertical="top"/>
    </xf>
    <xf numFmtId="164" fontId="13" fillId="0" borderId="39" xfId="0" applyNumberFormat="1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vertical="center" wrapText="1"/>
    </xf>
    <xf numFmtId="0" fontId="0" fillId="0" borderId="41" xfId="0" applyFont="1" applyFill="1" applyBorder="1" applyAlignment="1">
      <alignment horizontal="center" vertical="center"/>
    </xf>
    <xf numFmtId="1" fontId="13" fillId="0" borderId="36" xfId="0" applyNumberFormat="1" applyFont="1" applyFill="1" applyBorder="1" applyAlignment="1">
      <alignment horizontal="center" vertical="center"/>
    </xf>
    <xf numFmtId="1" fontId="10" fillId="0" borderId="27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vertical="center"/>
    </xf>
    <xf numFmtId="164" fontId="13" fillId="0" borderId="15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justify"/>
    </xf>
    <xf numFmtId="3" fontId="13" fillId="0" borderId="9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justify" wrapText="1"/>
    </xf>
    <xf numFmtId="0" fontId="5" fillId="0" borderId="44" xfId="0" applyFont="1" applyFill="1" applyBorder="1" applyAlignment="1">
      <alignment vertical="justify"/>
    </xf>
    <xf numFmtId="0" fontId="5" fillId="0" borderId="3" xfId="0" applyFont="1" applyFill="1" applyBorder="1" applyAlignment="1">
      <alignment vertical="justify"/>
    </xf>
    <xf numFmtId="0" fontId="5" fillId="0" borderId="45" xfId="0" applyFont="1" applyFill="1" applyBorder="1" applyAlignment="1">
      <alignment vertical="justify"/>
    </xf>
    <xf numFmtId="0" fontId="5" fillId="0" borderId="46" xfId="0" applyFont="1" applyFill="1" applyBorder="1" applyAlignment="1">
      <alignment vertical="justify"/>
    </xf>
    <xf numFmtId="0" fontId="2" fillId="0" borderId="0" xfId="0" applyFont="1" applyFill="1" applyAlignment="1">
      <alignment vertical="justify"/>
    </xf>
    <xf numFmtId="0" fontId="1" fillId="0" borderId="0" xfId="0" applyFont="1" applyFill="1" applyBorder="1" applyAlignment="1">
      <alignment vertical="justify"/>
    </xf>
    <xf numFmtId="0" fontId="2" fillId="0" borderId="0" xfId="0" applyFont="1" applyFill="1" applyAlignment="1">
      <alignment horizontal="center" vertical="justify" wrapText="1"/>
    </xf>
    <xf numFmtId="1" fontId="1" fillId="0" borderId="0" xfId="1" applyNumberFormat="1" applyFont="1" applyFill="1" applyAlignment="1">
      <alignment vertical="justify"/>
    </xf>
    <xf numFmtId="1" fontId="1" fillId="0" borderId="0" xfId="0" applyNumberFormat="1" applyFont="1" applyFill="1" applyAlignment="1">
      <alignment vertical="justify"/>
    </xf>
    <xf numFmtId="0" fontId="6" fillId="0" borderId="0" xfId="2" applyNumberFormat="1" applyFont="1" applyFill="1" applyBorder="1" applyAlignment="1">
      <alignment vertical="top" wrapText="1"/>
    </xf>
    <xf numFmtId="1" fontId="1" fillId="0" borderId="1" xfId="0" applyNumberFormat="1" applyFont="1" applyFill="1" applyBorder="1" applyAlignment="1">
      <alignment vertical="justify"/>
    </xf>
    <xf numFmtId="49" fontId="1" fillId="0" borderId="0" xfId="0" applyNumberFormat="1" applyFont="1" applyFill="1" applyBorder="1" applyAlignment="1">
      <alignment vertical="justify"/>
    </xf>
    <xf numFmtId="0" fontId="20" fillId="0" borderId="47" xfId="3" applyNumberFormat="1" applyFont="1" applyFill="1" applyBorder="1" applyAlignment="1">
      <alignment horizontal="left" vertical="top"/>
    </xf>
    <xf numFmtId="0" fontId="9" fillId="0" borderId="1" xfId="0" applyFont="1" applyFill="1" applyBorder="1" applyAlignment="1">
      <alignment vertical="justify"/>
    </xf>
    <xf numFmtId="0" fontId="1" fillId="0" borderId="1" xfId="0" applyFont="1" applyFill="1" applyBorder="1" applyAlignment="1">
      <alignment horizontal="center" vertical="justify"/>
    </xf>
    <xf numFmtId="0" fontId="0" fillId="0" borderId="5" xfId="0" applyFill="1" applyBorder="1" applyAlignment="1">
      <alignment horizontal="center"/>
    </xf>
    <xf numFmtId="0" fontId="0" fillId="0" borderId="6" xfId="0" applyFill="1" applyBorder="1"/>
    <xf numFmtId="0" fontId="0" fillId="0" borderId="6" xfId="0" applyFill="1" applyBorder="1" applyAlignment="1">
      <alignment horizontal="center"/>
    </xf>
    <xf numFmtId="3" fontId="0" fillId="0" borderId="45" xfId="0" applyNumberFormat="1" applyFill="1" applyBorder="1" applyAlignment="1">
      <alignment horizontal="center"/>
    </xf>
    <xf numFmtId="3" fontId="0" fillId="0" borderId="45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Fill="1"/>
    <xf numFmtId="3" fontId="0" fillId="0" borderId="0" xfId="0" applyNumberFormat="1" applyFill="1" applyAlignment="1">
      <alignment horizontal="center" vertical="center"/>
    </xf>
    <xf numFmtId="0" fontId="0" fillId="0" borderId="42" xfId="0" applyFill="1" applyBorder="1" applyAlignment="1">
      <alignment horizontal="center"/>
    </xf>
    <xf numFmtId="0" fontId="0" fillId="0" borderId="43" xfId="0" applyFill="1" applyBorder="1"/>
    <xf numFmtId="0" fontId="0" fillId="0" borderId="43" xfId="0" applyFill="1" applyBorder="1" applyAlignment="1">
      <alignment horizontal="center"/>
    </xf>
    <xf numFmtId="3" fontId="0" fillId="0" borderId="44" xfId="0" applyNumberFormat="1" applyFill="1" applyBorder="1" applyAlignment="1">
      <alignment horizontal="center"/>
    </xf>
    <xf numFmtId="3" fontId="0" fillId="0" borderId="44" xfId="0" applyNumberForma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justify"/>
    </xf>
    <xf numFmtId="0" fontId="1" fillId="0" borderId="4" xfId="0" applyFont="1" applyFill="1" applyBorder="1" applyAlignment="1">
      <alignment horizontal="center" vertical="justify"/>
    </xf>
    <xf numFmtId="0" fontId="1" fillId="0" borderId="5" xfId="0" applyFont="1" applyFill="1" applyBorder="1" applyAlignment="1">
      <alignment vertical="justify"/>
    </xf>
    <xf numFmtId="0" fontId="1" fillId="0" borderId="7" xfId="0" applyFont="1" applyFill="1" applyBorder="1" applyAlignment="1">
      <alignment vertical="justify"/>
    </xf>
    <xf numFmtId="0" fontId="1" fillId="0" borderId="8" xfId="0" applyFont="1" applyFill="1" applyBorder="1" applyAlignment="1">
      <alignment vertical="justify"/>
    </xf>
    <xf numFmtId="0" fontId="1" fillId="0" borderId="9" xfId="0" applyFont="1" applyFill="1" applyBorder="1" applyAlignment="1">
      <alignment vertical="justify"/>
    </xf>
    <xf numFmtId="0" fontId="1" fillId="0" borderId="10" xfId="0" applyFont="1" applyFill="1" applyBorder="1" applyAlignment="1">
      <alignment vertical="justify"/>
    </xf>
    <xf numFmtId="0" fontId="1" fillId="0" borderId="12" xfId="0" applyFont="1" applyFill="1" applyBorder="1" applyAlignment="1">
      <alignment vertical="justify"/>
    </xf>
    <xf numFmtId="0" fontId="1" fillId="0" borderId="13" xfId="0" applyFont="1" applyFill="1" applyBorder="1" applyAlignment="1">
      <alignment vertical="justify"/>
    </xf>
    <xf numFmtId="0" fontId="1" fillId="0" borderId="14" xfId="0" applyFont="1" applyFill="1" applyBorder="1" applyAlignment="1">
      <alignment vertical="justify"/>
    </xf>
    <xf numFmtId="0" fontId="1" fillId="0" borderId="15" xfId="0" applyFont="1" applyFill="1" applyBorder="1" applyAlignment="1">
      <alignment vertical="justify"/>
    </xf>
    <xf numFmtId="1" fontId="21" fillId="0" borderId="1" xfId="0" applyNumberFormat="1" applyFont="1" applyFill="1" applyBorder="1" applyAlignment="1">
      <alignment horizontal="center" vertical="justify"/>
    </xf>
    <xf numFmtId="0" fontId="22" fillId="0" borderId="1" xfId="0" applyFont="1" applyFill="1" applyBorder="1" applyAlignment="1">
      <alignment horizontal="left" vertical="justify" wrapText="1"/>
    </xf>
    <xf numFmtId="1" fontId="22" fillId="0" borderId="1" xfId="0" applyNumberFormat="1" applyFont="1" applyFill="1" applyBorder="1" applyAlignment="1">
      <alignment horizontal="center" vertical="justify"/>
    </xf>
    <xf numFmtId="0" fontId="22" fillId="0" borderId="1" xfId="0" applyFont="1" applyFill="1" applyBorder="1" applyAlignment="1">
      <alignment vertical="justify"/>
    </xf>
    <xf numFmtId="0" fontId="22" fillId="0" borderId="44" xfId="0" applyFont="1" applyFill="1" applyBorder="1" applyAlignment="1">
      <alignment vertical="justify"/>
    </xf>
    <xf numFmtId="0" fontId="23" fillId="0" borderId="0" xfId="0" applyFont="1" applyFill="1" applyBorder="1" applyAlignment="1">
      <alignment vertical="justify"/>
    </xf>
    <xf numFmtId="0" fontId="23" fillId="0" borderId="1" xfId="0" applyFont="1" applyFill="1" applyBorder="1" applyAlignment="1">
      <alignment vertical="justify"/>
    </xf>
    <xf numFmtId="0" fontId="23" fillId="0" borderId="0" xfId="0" applyFont="1" applyFill="1" applyAlignment="1">
      <alignment vertical="justify"/>
    </xf>
    <xf numFmtId="0" fontId="24" fillId="0" borderId="0" xfId="0" applyFont="1" applyFill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2" fillId="2" borderId="19" xfId="0" applyFont="1" applyFill="1" applyBorder="1" applyAlignment="1" applyProtection="1">
      <alignment vertical="center"/>
    </xf>
    <xf numFmtId="0" fontId="12" fillId="2" borderId="20" xfId="0" applyFont="1" applyFill="1" applyBorder="1" applyAlignment="1" applyProtection="1">
      <alignment vertical="center"/>
    </xf>
    <xf numFmtId="0" fontId="12" fillId="2" borderId="21" xfId="0" applyFont="1" applyFill="1" applyBorder="1" applyAlignment="1" applyProtection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top"/>
    </xf>
    <xf numFmtId="0" fontId="11" fillId="0" borderId="0" xfId="0" applyFont="1" applyFill="1" applyBorder="1" applyAlignment="1" applyProtection="1">
      <alignment horizontal="center" vertical="center"/>
    </xf>
    <xf numFmtId="165" fontId="12" fillId="2" borderId="17" xfId="0" applyNumberFormat="1" applyFont="1" applyFill="1" applyBorder="1" applyAlignment="1" applyProtection="1">
      <alignment horizontal="right" vertical="center"/>
    </xf>
    <xf numFmtId="165" fontId="12" fillId="2" borderId="18" xfId="0" applyNumberFormat="1" applyFont="1" applyFill="1" applyBorder="1" applyAlignment="1" applyProtection="1">
      <alignment horizontal="right" vertical="center"/>
    </xf>
    <xf numFmtId="0" fontId="15" fillId="0" borderId="0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top"/>
    </xf>
    <xf numFmtId="0" fontId="10" fillId="0" borderId="29" xfId="0" applyFont="1" applyFill="1" applyBorder="1" applyAlignment="1">
      <alignment horizontal="center" vertical="top"/>
    </xf>
    <xf numFmtId="0" fontId="10" fillId="0" borderId="28" xfId="0" applyFont="1" applyFill="1" applyBorder="1" applyAlignment="1">
      <alignment horizontal="center" vertical="top"/>
    </xf>
    <xf numFmtId="0" fontId="11" fillId="0" borderId="19" xfId="0" applyFont="1" applyFill="1" applyBorder="1" applyAlignment="1" applyProtection="1">
      <alignment horizontal="center" vertical="center"/>
    </xf>
    <xf numFmtId="0" fontId="11" fillId="0" borderId="20" xfId="0" applyFont="1" applyFill="1" applyBorder="1" applyAlignment="1" applyProtection="1">
      <alignment horizontal="center" vertical="center"/>
    </xf>
    <xf numFmtId="0" fontId="11" fillId="0" borderId="21" xfId="0" applyFont="1" applyFill="1" applyBorder="1" applyAlignment="1" applyProtection="1">
      <alignment horizontal="center" vertical="center"/>
    </xf>
  </cellXfs>
  <cellStyles count="4">
    <cellStyle name="Обычный" xfId="0" builtinId="0"/>
    <cellStyle name="Обычный_Таблица" xfId="2" xr:uid="{00000000-0005-0000-0000-000001000000}"/>
    <cellStyle name="Обычный_Таблица_1" xfId="3" xr:uid="{00000000-0005-0000-0000-000002000000}"/>
    <cellStyle name="Процентный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6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4.emf"/><Relationship Id="rId18" Type="http://schemas.openxmlformats.org/officeDocument/2006/relationships/image" Target="../media/image39.emf"/><Relationship Id="rId26" Type="http://schemas.openxmlformats.org/officeDocument/2006/relationships/image" Target="../media/image47.emf"/><Relationship Id="rId39" Type="http://schemas.openxmlformats.org/officeDocument/2006/relationships/image" Target="../media/image60.emf"/><Relationship Id="rId21" Type="http://schemas.openxmlformats.org/officeDocument/2006/relationships/image" Target="../media/image42.emf"/><Relationship Id="rId34" Type="http://schemas.openxmlformats.org/officeDocument/2006/relationships/image" Target="../media/image55.emf"/><Relationship Id="rId42" Type="http://schemas.openxmlformats.org/officeDocument/2006/relationships/image" Target="../media/image63.emf"/><Relationship Id="rId7" Type="http://schemas.openxmlformats.org/officeDocument/2006/relationships/image" Target="../media/image28.emf"/><Relationship Id="rId2" Type="http://schemas.openxmlformats.org/officeDocument/2006/relationships/image" Target="../media/image23.emf"/><Relationship Id="rId16" Type="http://schemas.openxmlformats.org/officeDocument/2006/relationships/image" Target="../media/image37.emf"/><Relationship Id="rId20" Type="http://schemas.openxmlformats.org/officeDocument/2006/relationships/image" Target="../media/image41.emf"/><Relationship Id="rId29" Type="http://schemas.openxmlformats.org/officeDocument/2006/relationships/image" Target="../media/image50.emf"/><Relationship Id="rId41" Type="http://schemas.openxmlformats.org/officeDocument/2006/relationships/image" Target="../media/image62.emf"/><Relationship Id="rId1" Type="http://schemas.openxmlformats.org/officeDocument/2006/relationships/image" Target="../media/image22.emf"/><Relationship Id="rId6" Type="http://schemas.openxmlformats.org/officeDocument/2006/relationships/image" Target="../media/image27.emf"/><Relationship Id="rId11" Type="http://schemas.openxmlformats.org/officeDocument/2006/relationships/image" Target="../media/image32.emf"/><Relationship Id="rId24" Type="http://schemas.openxmlformats.org/officeDocument/2006/relationships/image" Target="../media/image45.emf"/><Relationship Id="rId32" Type="http://schemas.openxmlformats.org/officeDocument/2006/relationships/image" Target="../media/image53.emf"/><Relationship Id="rId37" Type="http://schemas.openxmlformats.org/officeDocument/2006/relationships/image" Target="../media/image58.emf"/><Relationship Id="rId40" Type="http://schemas.openxmlformats.org/officeDocument/2006/relationships/image" Target="../media/image61.emf"/><Relationship Id="rId5" Type="http://schemas.openxmlformats.org/officeDocument/2006/relationships/image" Target="../media/image26.emf"/><Relationship Id="rId15" Type="http://schemas.openxmlformats.org/officeDocument/2006/relationships/image" Target="../media/image36.emf"/><Relationship Id="rId23" Type="http://schemas.openxmlformats.org/officeDocument/2006/relationships/image" Target="../media/image44.emf"/><Relationship Id="rId28" Type="http://schemas.openxmlformats.org/officeDocument/2006/relationships/image" Target="../media/image49.emf"/><Relationship Id="rId36" Type="http://schemas.openxmlformats.org/officeDocument/2006/relationships/image" Target="../media/image57.emf"/><Relationship Id="rId10" Type="http://schemas.openxmlformats.org/officeDocument/2006/relationships/image" Target="../media/image31.emf"/><Relationship Id="rId19" Type="http://schemas.openxmlformats.org/officeDocument/2006/relationships/image" Target="../media/image40.emf"/><Relationship Id="rId31" Type="http://schemas.openxmlformats.org/officeDocument/2006/relationships/image" Target="../media/image52.emf"/><Relationship Id="rId4" Type="http://schemas.openxmlformats.org/officeDocument/2006/relationships/image" Target="../media/image25.emf"/><Relationship Id="rId9" Type="http://schemas.openxmlformats.org/officeDocument/2006/relationships/image" Target="../media/image30.emf"/><Relationship Id="rId14" Type="http://schemas.openxmlformats.org/officeDocument/2006/relationships/image" Target="../media/image35.emf"/><Relationship Id="rId22" Type="http://schemas.openxmlformats.org/officeDocument/2006/relationships/image" Target="../media/image43.emf"/><Relationship Id="rId27" Type="http://schemas.openxmlformats.org/officeDocument/2006/relationships/image" Target="../media/image48.emf"/><Relationship Id="rId30" Type="http://schemas.openxmlformats.org/officeDocument/2006/relationships/image" Target="../media/image51.emf"/><Relationship Id="rId35" Type="http://schemas.openxmlformats.org/officeDocument/2006/relationships/image" Target="../media/image56.emf"/><Relationship Id="rId43" Type="http://schemas.openxmlformats.org/officeDocument/2006/relationships/image" Target="../media/image64.emf"/><Relationship Id="rId8" Type="http://schemas.openxmlformats.org/officeDocument/2006/relationships/image" Target="../media/image29.emf"/><Relationship Id="rId3" Type="http://schemas.openxmlformats.org/officeDocument/2006/relationships/image" Target="../media/image24.emf"/><Relationship Id="rId12" Type="http://schemas.openxmlformats.org/officeDocument/2006/relationships/image" Target="../media/image33.emf"/><Relationship Id="rId17" Type="http://schemas.openxmlformats.org/officeDocument/2006/relationships/image" Target="../media/image38.emf"/><Relationship Id="rId25" Type="http://schemas.openxmlformats.org/officeDocument/2006/relationships/image" Target="../media/image46.emf"/><Relationship Id="rId33" Type="http://schemas.openxmlformats.org/officeDocument/2006/relationships/image" Target="../media/image54.emf"/><Relationship Id="rId38" Type="http://schemas.openxmlformats.org/officeDocument/2006/relationships/image" Target="../media/image59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2.emf"/><Relationship Id="rId13" Type="http://schemas.openxmlformats.org/officeDocument/2006/relationships/image" Target="../media/image77.emf"/><Relationship Id="rId18" Type="http://schemas.openxmlformats.org/officeDocument/2006/relationships/image" Target="../media/image82.wmf"/><Relationship Id="rId3" Type="http://schemas.openxmlformats.org/officeDocument/2006/relationships/image" Target="../media/image67.emf"/><Relationship Id="rId7" Type="http://schemas.openxmlformats.org/officeDocument/2006/relationships/image" Target="../media/image71.emf"/><Relationship Id="rId12" Type="http://schemas.openxmlformats.org/officeDocument/2006/relationships/image" Target="../media/image76.emf"/><Relationship Id="rId17" Type="http://schemas.openxmlformats.org/officeDocument/2006/relationships/image" Target="../media/image81.emf"/><Relationship Id="rId2" Type="http://schemas.openxmlformats.org/officeDocument/2006/relationships/image" Target="../media/image66.emf"/><Relationship Id="rId16" Type="http://schemas.openxmlformats.org/officeDocument/2006/relationships/image" Target="../media/image80.emf"/><Relationship Id="rId1" Type="http://schemas.openxmlformats.org/officeDocument/2006/relationships/image" Target="../media/image65.png"/><Relationship Id="rId6" Type="http://schemas.openxmlformats.org/officeDocument/2006/relationships/image" Target="../media/image70.emf"/><Relationship Id="rId11" Type="http://schemas.openxmlformats.org/officeDocument/2006/relationships/image" Target="../media/image75.emf"/><Relationship Id="rId5" Type="http://schemas.openxmlformats.org/officeDocument/2006/relationships/image" Target="../media/image69.emf"/><Relationship Id="rId15" Type="http://schemas.openxmlformats.org/officeDocument/2006/relationships/image" Target="../media/image79.emf"/><Relationship Id="rId10" Type="http://schemas.openxmlformats.org/officeDocument/2006/relationships/image" Target="../media/image74.emf"/><Relationship Id="rId4" Type="http://schemas.openxmlformats.org/officeDocument/2006/relationships/image" Target="../media/image68.emf"/><Relationship Id="rId9" Type="http://schemas.openxmlformats.org/officeDocument/2006/relationships/image" Target="../media/image73.emf"/><Relationship Id="rId14" Type="http://schemas.openxmlformats.org/officeDocument/2006/relationships/image" Target="../media/image78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png"/><Relationship Id="rId3" Type="http://schemas.openxmlformats.org/officeDocument/2006/relationships/image" Target="../media/image85.png"/><Relationship Id="rId7" Type="http://schemas.openxmlformats.org/officeDocument/2006/relationships/image" Target="../media/image89.png"/><Relationship Id="rId12" Type="http://schemas.openxmlformats.org/officeDocument/2006/relationships/image" Target="../media/image94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Relationship Id="rId6" Type="http://schemas.openxmlformats.org/officeDocument/2006/relationships/image" Target="../media/image88.png"/><Relationship Id="rId11" Type="http://schemas.openxmlformats.org/officeDocument/2006/relationships/image" Target="../media/image93.png"/><Relationship Id="rId5" Type="http://schemas.openxmlformats.org/officeDocument/2006/relationships/image" Target="../media/image87.png"/><Relationship Id="rId10" Type="http://schemas.openxmlformats.org/officeDocument/2006/relationships/image" Target="../media/image92.png"/><Relationship Id="rId4" Type="http://schemas.openxmlformats.org/officeDocument/2006/relationships/image" Target="../media/image86.png"/><Relationship Id="rId9" Type="http://schemas.openxmlformats.org/officeDocument/2006/relationships/image" Target="../media/image9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3" Type="http://schemas.openxmlformats.org/officeDocument/2006/relationships/image" Target="../media/image97.emf"/><Relationship Id="rId7" Type="http://schemas.openxmlformats.org/officeDocument/2006/relationships/image" Target="../media/image101.emf"/><Relationship Id="rId2" Type="http://schemas.openxmlformats.org/officeDocument/2006/relationships/image" Target="../media/image96.emf"/><Relationship Id="rId1" Type="http://schemas.openxmlformats.org/officeDocument/2006/relationships/image" Target="../media/image95.emf"/><Relationship Id="rId6" Type="http://schemas.openxmlformats.org/officeDocument/2006/relationships/image" Target="../media/image100.emf"/><Relationship Id="rId5" Type="http://schemas.openxmlformats.org/officeDocument/2006/relationships/image" Target="../media/image99.emf"/><Relationship Id="rId10" Type="http://schemas.openxmlformats.org/officeDocument/2006/relationships/image" Target="../media/image104.emf"/><Relationship Id="rId4" Type="http://schemas.openxmlformats.org/officeDocument/2006/relationships/image" Target="../media/image98.emf"/><Relationship Id="rId9" Type="http://schemas.openxmlformats.org/officeDocument/2006/relationships/image" Target="../media/image103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2.emf"/><Relationship Id="rId3" Type="http://schemas.openxmlformats.org/officeDocument/2006/relationships/image" Target="../media/image107.emf"/><Relationship Id="rId7" Type="http://schemas.openxmlformats.org/officeDocument/2006/relationships/image" Target="../media/image111.emf"/><Relationship Id="rId2" Type="http://schemas.openxmlformats.org/officeDocument/2006/relationships/image" Target="../media/image106.emf"/><Relationship Id="rId1" Type="http://schemas.openxmlformats.org/officeDocument/2006/relationships/image" Target="../media/image105.emf"/><Relationship Id="rId6" Type="http://schemas.openxmlformats.org/officeDocument/2006/relationships/image" Target="../media/image110.emf"/><Relationship Id="rId5" Type="http://schemas.openxmlformats.org/officeDocument/2006/relationships/image" Target="../media/image109.emf"/><Relationship Id="rId10" Type="http://schemas.openxmlformats.org/officeDocument/2006/relationships/image" Target="../media/image114.emf"/><Relationship Id="rId4" Type="http://schemas.openxmlformats.org/officeDocument/2006/relationships/image" Target="../media/image108.emf"/><Relationship Id="rId9" Type="http://schemas.openxmlformats.org/officeDocument/2006/relationships/image" Target="../media/image1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18</xdr:row>
      <xdr:rowOff>123825</xdr:rowOff>
    </xdr:from>
    <xdr:to>
      <xdr:col>3</xdr:col>
      <xdr:colOff>1533525</xdr:colOff>
      <xdr:row>21</xdr:row>
      <xdr:rowOff>238124</xdr:rowOff>
    </xdr:to>
    <xdr:pic>
      <xdr:nvPicPr>
        <xdr:cNvPr id="66765" name="Рисунок 1">
          <a:extLst>
            <a:ext uri="{FF2B5EF4-FFF2-40B4-BE49-F238E27FC236}">
              <a16:creationId xmlns:a16="http://schemas.microsoft.com/office/drawing/2014/main" id="{00000000-0008-0000-0000-0000CD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13245" y="3438525"/>
          <a:ext cx="1257300" cy="1085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457200</xdr:colOff>
      <xdr:row>22</xdr:row>
      <xdr:rowOff>47625</xdr:rowOff>
    </xdr:from>
    <xdr:to>
      <xdr:col>3</xdr:col>
      <xdr:colOff>1352550</xdr:colOff>
      <xdr:row>22</xdr:row>
      <xdr:rowOff>847725</xdr:rowOff>
    </xdr:to>
    <xdr:pic>
      <xdr:nvPicPr>
        <xdr:cNvPr id="66766" name="Рисунок 2">
          <a:extLst>
            <a:ext uri="{FF2B5EF4-FFF2-40B4-BE49-F238E27FC236}">
              <a16:creationId xmlns:a16="http://schemas.microsoft.com/office/drawing/2014/main" id="{00000000-0008-0000-0000-0000CE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4220" y="4657725"/>
          <a:ext cx="8953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466725</xdr:colOff>
      <xdr:row>23</xdr:row>
      <xdr:rowOff>76200</xdr:rowOff>
    </xdr:from>
    <xdr:to>
      <xdr:col>3</xdr:col>
      <xdr:colOff>1419225</xdr:colOff>
      <xdr:row>23</xdr:row>
      <xdr:rowOff>828675</xdr:rowOff>
    </xdr:to>
    <xdr:pic>
      <xdr:nvPicPr>
        <xdr:cNvPr id="66767" name="Рисунок 3">
          <a:extLst>
            <a:ext uri="{FF2B5EF4-FFF2-40B4-BE49-F238E27FC236}">
              <a16:creationId xmlns:a16="http://schemas.microsoft.com/office/drawing/2014/main" id="{00000000-0008-0000-0000-0000CF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03745" y="5581650"/>
          <a:ext cx="9525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24</xdr:row>
      <xdr:rowOff>47625</xdr:rowOff>
    </xdr:from>
    <xdr:to>
      <xdr:col>3</xdr:col>
      <xdr:colOff>1362075</xdr:colOff>
      <xdr:row>24</xdr:row>
      <xdr:rowOff>847725</xdr:rowOff>
    </xdr:to>
    <xdr:pic>
      <xdr:nvPicPr>
        <xdr:cNvPr id="66768" name="Рисунок 4">
          <a:extLst>
            <a:ext uri="{FF2B5EF4-FFF2-40B4-BE49-F238E27FC236}">
              <a16:creationId xmlns:a16="http://schemas.microsoft.com/office/drawing/2014/main" id="{00000000-0008-0000-0000-0000D0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41845" y="6448425"/>
          <a:ext cx="8572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402419</xdr:colOff>
      <xdr:row>23</xdr:row>
      <xdr:rowOff>385831</xdr:rowOff>
    </xdr:from>
    <xdr:ext cx="403873" cy="23200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 rot="1372998">
          <a:off x="7038975" y="5890895"/>
          <a:ext cx="403860" cy="23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72</a:t>
          </a:r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</a:p>
      </xdr:txBody>
    </xdr:sp>
    <xdr:clientData/>
  </xdr:oneCellAnchor>
  <xdr:oneCellAnchor>
    <xdr:from>
      <xdr:col>3</xdr:col>
      <xdr:colOff>1144298</xdr:colOff>
      <xdr:row>23</xdr:row>
      <xdr:rowOff>263999</xdr:rowOff>
    </xdr:from>
    <xdr:ext cx="403687" cy="23200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 rot="20179958">
          <a:off x="7781290" y="5768975"/>
          <a:ext cx="403225" cy="2324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45</a:t>
          </a:r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</a:p>
      </xdr:txBody>
    </xdr:sp>
    <xdr:clientData/>
  </xdr:oneCellAnchor>
  <xdr:oneCellAnchor>
    <xdr:from>
      <xdr:col>3</xdr:col>
      <xdr:colOff>1109583</xdr:colOff>
      <xdr:row>23</xdr:row>
      <xdr:rowOff>5964</xdr:rowOff>
    </xdr:from>
    <xdr:ext cx="412494" cy="23200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 rot="1372998">
          <a:off x="7746365" y="5511165"/>
          <a:ext cx="412115" cy="23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90</a:t>
          </a:r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</a:p>
      </xdr:txBody>
    </xdr:sp>
    <xdr:clientData/>
  </xdr:oneCellAnchor>
  <xdr:twoCellAnchor editAs="oneCell">
    <xdr:from>
      <xdr:col>3</xdr:col>
      <xdr:colOff>495300</xdr:colOff>
      <xdr:row>25</xdr:row>
      <xdr:rowOff>66675</xdr:rowOff>
    </xdr:from>
    <xdr:to>
      <xdr:col>3</xdr:col>
      <xdr:colOff>1400175</xdr:colOff>
      <xdr:row>25</xdr:row>
      <xdr:rowOff>819150</xdr:rowOff>
    </xdr:to>
    <xdr:pic>
      <xdr:nvPicPr>
        <xdr:cNvPr id="66772" name="Рисунок 24">
          <a:extLst>
            <a:ext uri="{FF2B5EF4-FFF2-40B4-BE49-F238E27FC236}">
              <a16:creationId xmlns:a16="http://schemas.microsoft.com/office/drawing/2014/main" id="{00000000-0008-0000-0000-0000D4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32320" y="7362825"/>
          <a:ext cx="9048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434441</xdr:colOff>
      <xdr:row>25</xdr:row>
      <xdr:rowOff>378173</xdr:rowOff>
    </xdr:from>
    <xdr:ext cx="412390" cy="26505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rot="1372998">
          <a:off x="7071360" y="7673975"/>
          <a:ext cx="41211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720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1104727</xdr:colOff>
      <xdr:row>25</xdr:row>
      <xdr:rowOff>264825</xdr:rowOff>
    </xdr:from>
    <xdr:ext cx="420494" cy="23200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 rot="20179958">
          <a:off x="7741285" y="7560945"/>
          <a:ext cx="420370" cy="23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45</a:t>
          </a:r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</a:p>
      </xdr:txBody>
    </xdr:sp>
    <xdr:clientData/>
  </xdr:oneCellAnchor>
  <xdr:oneCellAnchor>
    <xdr:from>
      <xdr:col>3</xdr:col>
      <xdr:colOff>1106385</xdr:colOff>
      <xdr:row>25</xdr:row>
      <xdr:rowOff>30003</xdr:rowOff>
    </xdr:from>
    <xdr:ext cx="403469" cy="238884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 rot="1372998">
          <a:off x="7743190" y="7325995"/>
          <a:ext cx="403225" cy="238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90</a:t>
          </a:r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</a:p>
      </xdr:txBody>
    </xdr:sp>
    <xdr:clientData/>
  </xdr:oneCellAnchor>
  <xdr:twoCellAnchor editAs="oneCell">
    <xdr:from>
      <xdr:col>3</xdr:col>
      <xdr:colOff>571500</xdr:colOff>
      <xdr:row>26</xdr:row>
      <xdr:rowOff>57150</xdr:rowOff>
    </xdr:from>
    <xdr:to>
      <xdr:col>3</xdr:col>
      <xdr:colOff>1333500</xdr:colOff>
      <xdr:row>26</xdr:row>
      <xdr:rowOff>847725</xdr:rowOff>
    </xdr:to>
    <xdr:pic>
      <xdr:nvPicPr>
        <xdr:cNvPr id="66776" name="Рисунок 30">
          <a:extLst>
            <a:ext uri="{FF2B5EF4-FFF2-40B4-BE49-F238E27FC236}">
              <a16:creationId xmlns:a16="http://schemas.microsoft.com/office/drawing/2014/main" id="{00000000-0008-0000-0000-0000D8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08520" y="8248650"/>
          <a:ext cx="7620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419100</xdr:colOff>
      <xdr:row>27</xdr:row>
      <xdr:rowOff>57150</xdr:rowOff>
    </xdr:from>
    <xdr:to>
      <xdr:col>3</xdr:col>
      <xdr:colOff>1476375</xdr:colOff>
      <xdr:row>27</xdr:row>
      <xdr:rowOff>809625</xdr:rowOff>
    </xdr:to>
    <xdr:pic>
      <xdr:nvPicPr>
        <xdr:cNvPr id="66777" name="Рисунок 7">
          <a:extLst>
            <a:ext uri="{FF2B5EF4-FFF2-40B4-BE49-F238E27FC236}">
              <a16:creationId xmlns:a16="http://schemas.microsoft.com/office/drawing/2014/main" id="{00000000-0008-0000-0000-0000D9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56120" y="9144000"/>
          <a:ext cx="10572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1107936</xdr:colOff>
      <xdr:row>27</xdr:row>
      <xdr:rowOff>7360</xdr:rowOff>
    </xdr:from>
    <xdr:ext cx="395996" cy="25684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 rot="1372998">
          <a:off x="7744460" y="9093835"/>
          <a:ext cx="396240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1200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361529</xdr:colOff>
      <xdr:row>27</xdr:row>
      <xdr:rowOff>350042</xdr:rowOff>
    </xdr:from>
    <xdr:ext cx="412494" cy="25684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 rot="1372998">
          <a:off x="6998335" y="9436735"/>
          <a:ext cx="412115" cy="2565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600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1186369</xdr:colOff>
      <xdr:row>27</xdr:row>
      <xdr:rowOff>304177</xdr:rowOff>
    </xdr:from>
    <xdr:ext cx="412786" cy="23200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 rot="20179958">
          <a:off x="7823200" y="9391015"/>
          <a:ext cx="412750" cy="23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600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3</xdr:col>
      <xdr:colOff>514350</xdr:colOff>
      <xdr:row>28</xdr:row>
      <xdr:rowOff>38100</xdr:rowOff>
    </xdr:from>
    <xdr:to>
      <xdr:col>3</xdr:col>
      <xdr:colOff>1343025</xdr:colOff>
      <xdr:row>28</xdr:row>
      <xdr:rowOff>866775</xdr:rowOff>
    </xdr:to>
    <xdr:pic>
      <xdr:nvPicPr>
        <xdr:cNvPr id="66781" name="Рисунок 8">
          <a:extLst>
            <a:ext uri="{FF2B5EF4-FFF2-40B4-BE49-F238E27FC236}">
              <a16:creationId xmlns:a16="http://schemas.microsoft.com/office/drawing/2014/main" id="{00000000-0008-0000-0000-0000DD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51370" y="10020300"/>
          <a:ext cx="8286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390525</xdr:colOff>
      <xdr:row>29</xdr:row>
      <xdr:rowOff>66675</xdr:rowOff>
    </xdr:from>
    <xdr:to>
      <xdr:col>3</xdr:col>
      <xdr:colOff>1485900</xdr:colOff>
      <xdr:row>29</xdr:row>
      <xdr:rowOff>819150</xdr:rowOff>
    </xdr:to>
    <xdr:pic>
      <xdr:nvPicPr>
        <xdr:cNvPr id="66782" name="Рисунок 9">
          <a:extLst>
            <a:ext uri="{FF2B5EF4-FFF2-40B4-BE49-F238E27FC236}">
              <a16:creationId xmlns:a16="http://schemas.microsoft.com/office/drawing/2014/main" id="{00000000-0008-0000-0000-0000DE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7545" y="10944225"/>
          <a:ext cx="10953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1224089</xdr:colOff>
      <xdr:row>29</xdr:row>
      <xdr:rowOff>304394</xdr:rowOff>
    </xdr:from>
    <xdr:ext cx="404781" cy="232001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 rot="20179958">
          <a:off x="7860665" y="11181715"/>
          <a:ext cx="405130" cy="23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600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1105432</xdr:colOff>
      <xdr:row>29</xdr:row>
      <xdr:rowOff>7142</xdr:rowOff>
    </xdr:from>
    <xdr:ext cx="420051" cy="25684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 rot="1372998">
          <a:off x="7741920" y="10884535"/>
          <a:ext cx="420370" cy="2565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1200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317714</xdr:colOff>
      <xdr:row>29</xdr:row>
      <xdr:rowOff>383379</xdr:rowOff>
    </xdr:from>
    <xdr:ext cx="412057" cy="239485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 rot="1372998">
          <a:off x="6954520" y="11260455"/>
          <a:ext cx="412115" cy="239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600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3</xdr:col>
      <xdr:colOff>361950</xdr:colOff>
      <xdr:row>30</xdr:row>
      <xdr:rowOff>38100</xdr:rowOff>
    </xdr:from>
    <xdr:to>
      <xdr:col>3</xdr:col>
      <xdr:colOff>1457325</xdr:colOff>
      <xdr:row>30</xdr:row>
      <xdr:rowOff>857250</xdr:rowOff>
    </xdr:to>
    <xdr:pic>
      <xdr:nvPicPr>
        <xdr:cNvPr id="66786" name="Рисунок 10">
          <a:extLst>
            <a:ext uri="{FF2B5EF4-FFF2-40B4-BE49-F238E27FC236}">
              <a16:creationId xmlns:a16="http://schemas.microsoft.com/office/drawing/2014/main" id="{00000000-0008-0000-0000-0000E2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98970" y="11811000"/>
          <a:ext cx="10953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676275</xdr:colOff>
      <xdr:row>37</xdr:row>
      <xdr:rowOff>161925</xdr:rowOff>
    </xdr:from>
    <xdr:to>
      <xdr:col>3</xdr:col>
      <xdr:colOff>1190625</xdr:colOff>
      <xdr:row>37</xdr:row>
      <xdr:rowOff>790575</xdr:rowOff>
    </xdr:to>
    <xdr:pic>
      <xdr:nvPicPr>
        <xdr:cNvPr id="66787" name="Рисунок 11">
          <a:extLst>
            <a:ext uri="{FF2B5EF4-FFF2-40B4-BE49-F238E27FC236}">
              <a16:creationId xmlns:a16="http://schemas.microsoft.com/office/drawing/2014/main" id="{00000000-0008-0000-0000-0000E3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13295" y="16411575"/>
          <a:ext cx="5143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685800</xdr:colOff>
      <xdr:row>38</xdr:row>
      <xdr:rowOff>66675</xdr:rowOff>
    </xdr:from>
    <xdr:to>
      <xdr:col>3</xdr:col>
      <xdr:colOff>1209675</xdr:colOff>
      <xdr:row>38</xdr:row>
      <xdr:rowOff>847725</xdr:rowOff>
    </xdr:to>
    <xdr:pic>
      <xdr:nvPicPr>
        <xdr:cNvPr id="66788" name="Рисунок 12">
          <a:extLst>
            <a:ext uri="{FF2B5EF4-FFF2-40B4-BE49-F238E27FC236}">
              <a16:creationId xmlns:a16="http://schemas.microsoft.com/office/drawing/2014/main" id="{00000000-0008-0000-0000-0000E4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22820" y="17211675"/>
          <a:ext cx="5238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619125</xdr:colOff>
      <xdr:row>39</xdr:row>
      <xdr:rowOff>47625</xdr:rowOff>
    </xdr:from>
    <xdr:to>
      <xdr:col>3</xdr:col>
      <xdr:colOff>1304925</xdr:colOff>
      <xdr:row>41</xdr:row>
      <xdr:rowOff>285749</xdr:rowOff>
    </xdr:to>
    <xdr:pic>
      <xdr:nvPicPr>
        <xdr:cNvPr id="66789" name="Рисунок 13">
          <a:extLst>
            <a:ext uri="{FF2B5EF4-FFF2-40B4-BE49-F238E27FC236}">
              <a16:creationId xmlns:a16="http://schemas.microsoft.com/office/drawing/2014/main" id="{00000000-0008-0000-0000-0000E5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56145" y="18087975"/>
          <a:ext cx="685800" cy="885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619125</xdr:colOff>
      <xdr:row>42</xdr:row>
      <xdr:rowOff>66675</xdr:rowOff>
    </xdr:from>
    <xdr:to>
      <xdr:col>3</xdr:col>
      <xdr:colOff>1343025</xdr:colOff>
      <xdr:row>42</xdr:row>
      <xdr:rowOff>847725</xdr:rowOff>
    </xdr:to>
    <xdr:pic>
      <xdr:nvPicPr>
        <xdr:cNvPr id="66790" name="Рисунок 14">
          <a:extLst>
            <a:ext uri="{FF2B5EF4-FFF2-40B4-BE49-F238E27FC236}">
              <a16:creationId xmlns:a16="http://schemas.microsoft.com/office/drawing/2014/main" id="{00000000-0008-0000-0000-0000E6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56145" y="19078575"/>
          <a:ext cx="7239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561975</xdr:colOff>
      <xdr:row>33</xdr:row>
      <xdr:rowOff>95250</xdr:rowOff>
    </xdr:from>
    <xdr:to>
      <xdr:col>3</xdr:col>
      <xdr:colOff>1219200</xdr:colOff>
      <xdr:row>33</xdr:row>
      <xdr:rowOff>809625</xdr:rowOff>
    </xdr:to>
    <xdr:pic>
      <xdr:nvPicPr>
        <xdr:cNvPr id="66791" name="Рисунок 1">
          <a:extLst>
            <a:ext uri="{FF2B5EF4-FFF2-40B4-BE49-F238E27FC236}">
              <a16:creationId xmlns:a16="http://schemas.microsoft.com/office/drawing/2014/main" id="{00000000-0008-0000-0000-0000E7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98995" y="12763500"/>
          <a:ext cx="6572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476250</xdr:colOff>
      <xdr:row>34</xdr:row>
      <xdr:rowOff>95250</xdr:rowOff>
    </xdr:from>
    <xdr:to>
      <xdr:col>3</xdr:col>
      <xdr:colOff>1295400</xdr:colOff>
      <xdr:row>34</xdr:row>
      <xdr:rowOff>809625</xdr:rowOff>
    </xdr:to>
    <xdr:pic>
      <xdr:nvPicPr>
        <xdr:cNvPr id="66792" name="Рисунок 2">
          <a:extLst>
            <a:ext uri="{FF2B5EF4-FFF2-40B4-BE49-F238E27FC236}">
              <a16:creationId xmlns:a16="http://schemas.microsoft.com/office/drawing/2014/main" id="{00000000-0008-0000-0000-0000E8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13270" y="13658850"/>
          <a:ext cx="8191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447675</xdr:colOff>
      <xdr:row>35</xdr:row>
      <xdr:rowOff>104775</xdr:rowOff>
    </xdr:from>
    <xdr:to>
      <xdr:col>3</xdr:col>
      <xdr:colOff>1323975</xdr:colOff>
      <xdr:row>35</xdr:row>
      <xdr:rowOff>800100</xdr:rowOff>
    </xdr:to>
    <xdr:pic>
      <xdr:nvPicPr>
        <xdr:cNvPr id="66793" name="Рисунок 3">
          <a:extLst>
            <a:ext uri="{FF2B5EF4-FFF2-40B4-BE49-F238E27FC236}">
              <a16:creationId xmlns:a16="http://schemas.microsoft.com/office/drawing/2014/main" id="{00000000-0008-0000-0000-0000E9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4695" y="14563725"/>
          <a:ext cx="8763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428625</xdr:colOff>
      <xdr:row>36</xdr:row>
      <xdr:rowOff>123825</xdr:rowOff>
    </xdr:from>
    <xdr:to>
      <xdr:col>3</xdr:col>
      <xdr:colOff>1343025</xdr:colOff>
      <xdr:row>36</xdr:row>
      <xdr:rowOff>771525</xdr:rowOff>
    </xdr:to>
    <xdr:pic>
      <xdr:nvPicPr>
        <xdr:cNvPr id="66794" name="Рисунок 4">
          <a:extLst>
            <a:ext uri="{FF2B5EF4-FFF2-40B4-BE49-F238E27FC236}">
              <a16:creationId xmlns:a16="http://schemas.microsoft.com/office/drawing/2014/main" id="{00000000-0008-0000-0000-0000EA04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65645" y="15478125"/>
          <a:ext cx="9144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1342142</xdr:colOff>
      <xdr:row>7</xdr:row>
      <xdr:rowOff>10646</xdr:rowOff>
    </xdr:to>
    <xdr:pic>
      <xdr:nvPicPr>
        <xdr:cNvPr id="36" name="Рисунок 4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755" cy="134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648084</xdr:colOff>
      <xdr:row>31</xdr:row>
      <xdr:rowOff>219075</xdr:rowOff>
    </xdr:from>
    <xdr:to>
      <xdr:col>3</xdr:col>
      <xdr:colOff>1198207</xdr:colOff>
      <xdr:row>31</xdr:row>
      <xdr:rowOff>775569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B7FA8C9A-DB6A-45BE-831C-1B4D6ADE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7009" y="12858750"/>
          <a:ext cx="550123" cy="556494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32</xdr:row>
      <xdr:rowOff>161450</xdr:rowOff>
    </xdr:from>
    <xdr:to>
      <xdr:col>3</xdr:col>
      <xdr:colOff>1284315</xdr:colOff>
      <xdr:row>32</xdr:row>
      <xdr:rowOff>749039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A9E9BE5D-62BA-4570-A50E-94138E542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3696475"/>
          <a:ext cx="722340" cy="58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723900</xdr:colOff>
      <xdr:row>3</xdr:row>
      <xdr:rowOff>28575</xdr:rowOff>
    </xdr:from>
    <xdr:to>
      <xdr:col>3</xdr:col>
      <xdr:colOff>1047750</xdr:colOff>
      <xdr:row>3</xdr:row>
      <xdr:rowOff>876300</xdr:rowOff>
    </xdr:to>
    <xdr:pic>
      <xdr:nvPicPr>
        <xdr:cNvPr id="66488" name="Рисунок 1">
          <a:extLst>
            <a:ext uri="{FF2B5EF4-FFF2-40B4-BE49-F238E27FC236}">
              <a16:creationId xmlns:a16="http://schemas.microsoft.com/office/drawing/2014/main" id="{00000000-0008-0000-0100-0000B8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60920" y="714375"/>
          <a:ext cx="3238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723900</xdr:colOff>
      <xdr:row>4</xdr:row>
      <xdr:rowOff>171450</xdr:rowOff>
    </xdr:from>
    <xdr:to>
      <xdr:col>3</xdr:col>
      <xdr:colOff>1038225</xdr:colOff>
      <xdr:row>4</xdr:row>
      <xdr:rowOff>733425</xdr:rowOff>
    </xdr:to>
    <xdr:pic>
      <xdr:nvPicPr>
        <xdr:cNvPr id="66489" name="Рисунок 2">
          <a:extLst>
            <a:ext uri="{FF2B5EF4-FFF2-40B4-BE49-F238E27FC236}">
              <a16:creationId xmlns:a16="http://schemas.microsoft.com/office/drawing/2014/main" id="{00000000-0008-0000-0100-0000B9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60920" y="1752600"/>
          <a:ext cx="3143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771525</xdr:colOff>
      <xdr:row>6</xdr:row>
      <xdr:rowOff>28575</xdr:rowOff>
    </xdr:from>
    <xdr:to>
      <xdr:col>3</xdr:col>
      <xdr:colOff>1009650</xdr:colOff>
      <xdr:row>6</xdr:row>
      <xdr:rowOff>866775</xdr:rowOff>
    </xdr:to>
    <xdr:pic>
      <xdr:nvPicPr>
        <xdr:cNvPr id="66490" name="Рисунок 4">
          <a:extLst>
            <a:ext uri="{FF2B5EF4-FFF2-40B4-BE49-F238E27FC236}">
              <a16:creationId xmlns:a16="http://schemas.microsoft.com/office/drawing/2014/main" id="{00000000-0008-0000-0100-0000BA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8545" y="3400425"/>
          <a:ext cx="2381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781050</xdr:colOff>
      <xdr:row>7</xdr:row>
      <xdr:rowOff>180975</xdr:rowOff>
    </xdr:from>
    <xdr:to>
      <xdr:col>3</xdr:col>
      <xdr:colOff>1028700</xdr:colOff>
      <xdr:row>7</xdr:row>
      <xdr:rowOff>742950</xdr:rowOff>
    </xdr:to>
    <xdr:pic>
      <xdr:nvPicPr>
        <xdr:cNvPr id="66491" name="Рисунок 5">
          <a:extLst>
            <a:ext uri="{FF2B5EF4-FFF2-40B4-BE49-F238E27FC236}">
              <a16:creationId xmlns:a16="http://schemas.microsoft.com/office/drawing/2014/main" id="{00000000-0008-0000-0100-0000BB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18070" y="4448175"/>
          <a:ext cx="2476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742950</xdr:colOff>
      <xdr:row>9</xdr:row>
      <xdr:rowOff>38100</xdr:rowOff>
    </xdr:from>
    <xdr:to>
      <xdr:col>3</xdr:col>
      <xdr:colOff>1000125</xdr:colOff>
      <xdr:row>9</xdr:row>
      <xdr:rowOff>847725</xdr:rowOff>
    </xdr:to>
    <xdr:pic>
      <xdr:nvPicPr>
        <xdr:cNvPr id="66492" name="Рисунок 7">
          <a:extLst>
            <a:ext uri="{FF2B5EF4-FFF2-40B4-BE49-F238E27FC236}">
              <a16:creationId xmlns:a16="http://schemas.microsoft.com/office/drawing/2014/main" id="{00000000-0008-0000-0100-0000BC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79970" y="6096000"/>
          <a:ext cx="2571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723900</xdr:colOff>
      <xdr:row>11</xdr:row>
      <xdr:rowOff>47625</xdr:rowOff>
    </xdr:from>
    <xdr:to>
      <xdr:col>3</xdr:col>
      <xdr:colOff>1038225</xdr:colOff>
      <xdr:row>11</xdr:row>
      <xdr:rowOff>857250</xdr:rowOff>
    </xdr:to>
    <xdr:pic>
      <xdr:nvPicPr>
        <xdr:cNvPr id="66493" name="Рисунок 9">
          <a:extLst>
            <a:ext uri="{FF2B5EF4-FFF2-40B4-BE49-F238E27FC236}">
              <a16:creationId xmlns:a16="http://schemas.microsoft.com/office/drawing/2014/main" id="{00000000-0008-0000-0100-0000BD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60920" y="789622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723900</xdr:colOff>
      <xdr:row>12</xdr:row>
      <xdr:rowOff>47625</xdr:rowOff>
    </xdr:from>
    <xdr:to>
      <xdr:col>3</xdr:col>
      <xdr:colOff>1028700</xdr:colOff>
      <xdr:row>12</xdr:row>
      <xdr:rowOff>857250</xdr:rowOff>
    </xdr:to>
    <xdr:pic>
      <xdr:nvPicPr>
        <xdr:cNvPr id="66494" name="Рисунок 10">
          <a:extLst>
            <a:ext uri="{FF2B5EF4-FFF2-40B4-BE49-F238E27FC236}">
              <a16:creationId xmlns:a16="http://schemas.microsoft.com/office/drawing/2014/main" id="{00000000-0008-0000-0100-0000BE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60920" y="8791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723900</xdr:colOff>
      <xdr:row>13</xdr:row>
      <xdr:rowOff>47625</xdr:rowOff>
    </xdr:from>
    <xdr:to>
      <xdr:col>3</xdr:col>
      <xdr:colOff>1038225</xdr:colOff>
      <xdr:row>13</xdr:row>
      <xdr:rowOff>857250</xdr:rowOff>
    </xdr:to>
    <xdr:pic>
      <xdr:nvPicPr>
        <xdr:cNvPr id="66495" name="Рисунок 11">
          <a:extLst>
            <a:ext uri="{FF2B5EF4-FFF2-40B4-BE49-F238E27FC236}">
              <a16:creationId xmlns:a16="http://schemas.microsoft.com/office/drawing/2014/main" id="{00000000-0008-0000-0100-0000BF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60920" y="968692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742950</xdr:colOff>
      <xdr:row>14</xdr:row>
      <xdr:rowOff>57150</xdr:rowOff>
    </xdr:from>
    <xdr:to>
      <xdr:col>3</xdr:col>
      <xdr:colOff>1057275</xdr:colOff>
      <xdr:row>14</xdr:row>
      <xdr:rowOff>866775</xdr:rowOff>
    </xdr:to>
    <xdr:pic>
      <xdr:nvPicPr>
        <xdr:cNvPr id="66496" name="Рисунок 12">
          <a:extLst>
            <a:ext uri="{FF2B5EF4-FFF2-40B4-BE49-F238E27FC236}">
              <a16:creationId xmlns:a16="http://schemas.microsoft.com/office/drawing/2014/main" id="{00000000-0008-0000-0100-0000C0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79970" y="10591800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752475</xdr:colOff>
      <xdr:row>15</xdr:row>
      <xdr:rowOff>47625</xdr:rowOff>
    </xdr:from>
    <xdr:to>
      <xdr:col>3</xdr:col>
      <xdr:colOff>1066800</xdr:colOff>
      <xdr:row>15</xdr:row>
      <xdr:rowOff>857250</xdr:rowOff>
    </xdr:to>
    <xdr:pic>
      <xdr:nvPicPr>
        <xdr:cNvPr id="66497" name="Рисунок 13">
          <a:extLst>
            <a:ext uri="{FF2B5EF4-FFF2-40B4-BE49-F238E27FC236}">
              <a16:creationId xmlns:a16="http://schemas.microsoft.com/office/drawing/2014/main" id="{00000000-0008-0000-0100-0000C1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89495" y="1147762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762000</xdr:colOff>
      <xdr:row>16</xdr:row>
      <xdr:rowOff>47625</xdr:rowOff>
    </xdr:from>
    <xdr:to>
      <xdr:col>3</xdr:col>
      <xdr:colOff>1076325</xdr:colOff>
      <xdr:row>16</xdr:row>
      <xdr:rowOff>857250</xdr:rowOff>
    </xdr:to>
    <xdr:pic>
      <xdr:nvPicPr>
        <xdr:cNvPr id="66498" name="Рисунок 14">
          <a:extLst>
            <a:ext uri="{FF2B5EF4-FFF2-40B4-BE49-F238E27FC236}">
              <a16:creationId xmlns:a16="http://schemas.microsoft.com/office/drawing/2014/main" id="{00000000-0008-0000-0100-0000C2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99020" y="123729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762000</xdr:colOff>
      <xdr:row>17</xdr:row>
      <xdr:rowOff>57150</xdr:rowOff>
    </xdr:from>
    <xdr:to>
      <xdr:col>3</xdr:col>
      <xdr:colOff>1076325</xdr:colOff>
      <xdr:row>17</xdr:row>
      <xdr:rowOff>866775</xdr:rowOff>
    </xdr:to>
    <xdr:pic>
      <xdr:nvPicPr>
        <xdr:cNvPr id="66499" name="Рисунок 15">
          <a:extLst>
            <a:ext uri="{FF2B5EF4-FFF2-40B4-BE49-F238E27FC236}">
              <a16:creationId xmlns:a16="http://schemas.microsoft.com/office/drawing/2014/main" id="{00000000-0008-0000-0100-0000C3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99020" y="13277850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771525</xdr:colOff>
      <xdr:row>18</xdr:row>
      <xdr:rowOff>47625</xdr:rowOff>
    </xdr:from>
    <xdr:to>
      <xdr:col>3</xdr:col>
      <xdr:colOff>1085850</xdr:colOff>
      <xdr:row>18</xdr:row>
      <xdr:rowOff>857250</xdr:rowOff>
    </xdr:to>
    <xdr:pic>
      <xdr:nvPicPr>
        <xdr:cNvPr id="66500" name="Рисунок 16">
          <a:extLst>
            <a:ext uri="{FF2B5EF4-FFF2-40B4-BE49-F238E27FC236}">
              <a16:creationId xmlns:a16="http://schemas.microsoft.com/office/drawing/2014/main" id="{00000000-0008-0000-0100-0000C4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8545" y="141636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771525</xdr:colOff>
      <xdr:row>19</xdr:row>
      <xdr:rowOff>57150</xdr:rowOff>
    </xdr:from>
    <xdr:to>
      <xdr:col>3</xdr:col>
      <xdr:colOff>1076325</xdr:colOff>
      <xdr:row>19</xdr:row>
      <xdr:rowOff>857250</xdr:rowOff>
    </xdr:to>
    <xdr:pic>
      <xdr:nvPicPr>
        <xdr:cNvPr id="66501" name="Рисунок 17">
          <a:extLst>
            <a:ext uri="{FF2B5EF4-FFF2-40B4-BE49-F238E27FC236}">
              <a16:creationId xmlns:a16="http://schemas.microsoft.com/office/drawing/2014/main" id="{00000000-0008-0000-0100-0000C5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8545" y="15068550"/>
          <a:ext cx="3048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771525</xdr:colOff>
      <xdr:row>20</xdr:row>
      <xdr:rowOff>47625</xdr:rowOff>
    </xdr:from>
    <xdr:to>
      <xdr:col>3</xdr:col>
      <xdr:colOff>1076325</xdr:colOff>
      <xdr:row>20</xdr:row>
      <xdr:rowOff>857250</xdr:rowOff>
    </xdr:to>
    <xdr:pic>
      <xdr:nvPicPr>
        <xdr:cNvPr id="66502" name="Рисунок 18">
          <a:extLst>
            <a:ext uri="{FF2B5EF4-FFF2-40B4-BE49-F238E27FC236}">
              <a16:creationId xmlns:a16="http://schemas.microsoft.com/office/drawing/2014/main" id="{00000000-0008-0000-0100-0000C6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8545" y="159543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685800</xdr:colOff>
      <xdr:row>21</xdr:row>
      <xdr:rowOff>38100</xdr:rowOff>
    </xdr:from>
    <xdr:to>
      <xdr:col>3</xdr:col>
      <xdr:colOff>1095375</xdr:colOff>
      <xdr:row>21</xdr:row>
      <xdr:rowOff>866775</xdr:rowOff>
    </xdr:to>
    <xdr:pic>
      <xdr:nvPicPr>
        <xdr:cNvPr id="66503" name="Рисунок 19">
          <a:extLst>
            <a:ext uri="{FF2B5EF4-FFF2-40B4-BE49-F238E27FC236}">
              <a16:creationId xmlns:a16="http://schemas.microsoft.com/office/drawing/2014/main" id="{00000000-0008-0000-0100-0000C7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22820" y="16840200"/>
          <a:ext cx="4095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695325</xdr:colOff>
      <xdr:row>22</xdr:row>
      <xdr:rowOff>171450</xdr:rowOff>
    </xdr:from>
    <xdr:to>
      <xdr:col>3</xdr:col>
      <xdr:colOff>1085850</xdr:colOff>
      <xdr:row>22</xdr:row>
      <xdr:rowOff>723900</xdr:rowOff>
    </xdr:to>
    <xdr:pic>
      <xdr:nvPicPr>
        <xdr:cNvPr id="66504" name="Рисунок 20">
          <a:extLst>
            <a:ext uri="{FF2B5EF4-FFF2-40B4-BE49-F238E27FC236}">
              <a16:creationId xmlns:a16="http://schemas.microsoft.com/office/drawing/2014/main" id="{00000000-0008-0000-0100-0000C8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32345" y="17868900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647700</xdr:colOff>
      <xdr:row>23</xdr:row>
      <xdr:rowOff>180975</xdr:rowOff>
    </xdr:from>
    <xdr:to>
      <xdr:col>3</xdr:col>
      <xdr:colOff>1143000</xdr:colOff>
      <xdr:row>23</xdr:row>
      <xdr:rowOff>704850</xdr:rowOff>
    </xdr:to>
    <xdr:pic>
      <xdr:nvPicPr>
        <xdr:cNvPr id="66505" name="Рисунок 21">
          <a:extLst>
            <a:ext uri="{FF2B5EF4-FFF2-40B4-BE49-F238E27FC236}">
              <a16:creationId xmlns:a16="http://schemas.microsoft.com/office/drawing/2014/main" id="{00000000-0008-0000-0100-0000C9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84720" y="18773775"/>
          <a:ext cx="495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619125</xdr:colOff>
      <xdr:row>24</xdr:row>
      <xdr:rowOff>171450</xdr:rowOff>
    </xdr:from>
    <xdr:to>
      <xdr:col>3</xdr:col>
      <xdr:colOff>1171575</xdr:colOff>
      <xdr:row>24</xdr:row>
      <xdr:rowOff>685800</xdr:rowOff>
    </xdr:to>
    <xdr:pic>
      <xdr:nvPicPr>
        <xdr:cNvPr id="66506" name="Рисунок 22">
          <a:extLst>
            <a:ext uri="{FF2B5EF4-FFF2-40B4-BE49-F238E27FC236}">
              <a16:creationId xmlns:a16="http://schemas.microsoft.com/office/drawing/2014/main" id="{00000000-0008-0000-0100-0000CA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56145" y="19659600"/>
          <a:ext cx="5524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457200</xdr:colOff>
      <xdr:row>25</xdr:row>
      <xdr:rowOff>38100</xdr:rowOff>
    </xdr:from>
    <xdr:to>
      <xdr:col>3</xdr:col>
      <xdr:colOff>685800</xdr:colOff>
      <xdr:row>25</xdr:row>
      <xdr:rowOff>838200</xdr:rowOff>
    </xdr:to>
    <xdr:pic>
      <xdr:nvPicPr>
        <xdr:cNvPr id="66507" name="Рисунок 23">
          <a:extLst>
            <a:ext uri="{FF2B5EF4-FFF2-40B4-BE49-F238E27FC236}">
              <a16:creationId xmlns:a16="http://schemas.microsoft.com/office/drawing/2014/main" id="{00000000-0008-0000-0100-0000CB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4220" y="20421600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476250</xdr:colOff>
      <xdr:row>26</xdr:row>
      <xdr:rowOff>57150</xdr:rowOff>
    </xdr:from>
    <xdr:to>
      <xdr:col>3</xdr:col>
      <xdr:colOff>704850</xdr:colOff>
      <xdr:row>26</xdr:row>
      <xdr:rowOff>857250</xdr:rowOff>
    </xdr:to>
    <xdr:pic>
      <xdr:nvPicPr>
        <xdr:cNvPr id="66508" name="Рисунок 69">
          <a:extLst>
            <a:ext uri="{FF2B5EF4-FFF2-40B4-BE49-F238E27FC236}">
              <a16:creationId xmlns:a16="http://schemas.microsoft.com/office/drawing/2014/main" id="{00000000-0008-0000-0100-0000CC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13270" y="21336000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476250</xdr:colOff>
      <xdr:row>27</xdr:row>
      <xdr:rowOff>57150</xdr:rowOff>
    </xdr:from>
    <xdr:to>
      <xdr:col>3</xdr:col>
      <xdr:colOff>704850</xdr:colOff>
      <xdr:row>27</xdr:row>
      <xdr:rowOff>857250</xdr:rowOff>
    </xdr:to>
    <xdr:pic>
      <xdr:nvPicPr>
        <xdr:cNvPr id="66509" name="Рисунок 25">
          <a:extLst>
            <a:ext uri="{FF2B5EF4-FFF2-40B4-BE49-F238E27FC236}">
              <a16:creationId xmlns:a16="http://schemas.microsoft.com/office/drawing/2014/main" id="{00000000-0008-0000-0100-0000CD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13270" y="22231350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28</xdr:row>
      <xdr:rowOff>47625</xdr:rowOff>
    </xdr:from>
    <xdr:to>
      <xdr:col>3</xdr:col>
      <xdr:colOff>714375</xdr:colOff>
      <xdr:row>28</xdr:row>
      <xdr:rowOff>847725</xdr:rowOff>
    </xdr:to>
    <xdr:pic>
      <xdr:nvPicPr>
        <xdr:cNvPr id="66510" name="Рисунок 75">
          <a:extLst>
            <a:ext uri="{FF2B5EF4-FFF2-40B4-BE49-F238E27FC236}">
              <a16:creationId xmlns:a16="http://schemas.microsoft.com/office/drawing/2014/main" id="{00000000-0008-0000-0100-0000CE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2795" y="2311717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29</xdr:row>
      <xdr:rowOff>57150</xdr:rowOff>
    </xdr:from>
    <xdr:to>
      <xdr:col>3</xdr:col>
      <xdr:colOff>714375</xdr:colOff>
      <xdr:row>29</xdr:row>
      <xdr:rowOff>857250</xdr:rowOff>
    </xdr:to>
    <xdr:pic>
      <xdr:nvPicPr>
        <xdr:cNvPr id="66511" name="Рисунок 78">
          <a:extLst>
            <a:ext uri="{FF2B5EF4-FFF2-40B4-BE49-F238E27FC236}">
              <a16:creationId xmlns:a16="http://schemas.microsoft.com/office/drawing/2014/main" id="{00000000-0008-0000-0100-0000CF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2795" y="24022050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30</xdr:row>
      <xdr:rowOff>47625</xdr:rowOff>
    </xdr:from>
    <xdr:to>
      <xdr:col>3</xdr:col>
      <xdr:colOff>704850</xdr:colOff>
      <xdr:row>30</xdr:row>
      <xdr:rowOff>847725</xdr:rowOff>
    </xdr:to>
    <xdr:pic>
      <xdr:nvPicPr>
        <xdr:cNvPr id="66512" name="Рисунок 28">
          <a:extLst>
            <a:ext uri="{FF2B5EF4-FFF2-40B4-BE49-F238E27FC236}">
              <a16:creationId xmlns:a16="http://schemas.microsoft.com/office/drawing/2014/main" id="{00000000-0008-0000-0100-0000D0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2795" y="24907875"/>
          <a:ext cx="2190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31</xdr:row>
      <xdr:rowOff>47625</xdr:rowOff>
    </xdr:from>
    <xdr:to>
      <xdr:col>3</xdr:col>
      <xdr:colOff>714375</xdr:colOff>
      <xdr:row>31</xdr:row>
      <xdr:rowOff>847725</xdr:rowOff>
    </xdr:to>
    <xdr:pic>
      <xdr:nvPicPr>
        <xdr:cNvPr id="66513" name="Рисунок 29">
          <a:extLst>
            <a:ext uri="{FF2B5EF4-FFF2-40B4-BE49-F238E27FC236}">
              <a16:creationId xmlns:a16="http://schemas.microsoft.com/office/drawing/2014/main" id="{00000000-0008-0000-0100-0000D1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2795" y="2580322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32</xdr:row>
      <xdr:rowOff>47625</xdr:rowOff>
    </xdr:from>
    <xdr:to>
      <xdr:col>3</xdr:col>
      <xdr:colOff>714375</xdr:colOff>
      <xdr:row>32</xdr:row>
      <xdr:rowOff>847725</xdr:rowOff>
    </xdr:to>
    <xdr:pic>
      <xdr:nvPicPr>
        <xdr:cNvPr id="66514" name="Рисунок 30">
          <a:extLst>
            <a:ext uri="{FF2B5EF4-FFF2-40B4-BE49-F238E27FC236}">
              <a16:creationId xmlns:a16="http://schemas.microsoft.com/office/drawing/2014/main" id="{00000000-0008-0000-0100-0000D2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2795" y="2669857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33</xdr:row>
      <xdr:rowOff>57150</xdr:rowOff>
    </xdr:from>
    <xdr:to>
      <xdr:col>3</xdr:col>
      <xdr:colOff>714375</xdr:colOff>
      <xdr:row>33</xdr:row>
      <xdr:rowOff>857250</xdr:rowOff>
    </xdr:to>
    <xdr:pic>
      <xdr:nvPicPr>
        <xdr:cNvPr id="66515" name="Рисунок 31">
          <a:extLst>
            <a:ext uri="{FF2B5EF4-FFF2-40B4-BE49-F238E27FC236}">
              <a16:creationId xmlns:a16="http://schemas.microsoft.com/office/drawing/2014/main" id="{00000000-0008-0000-0100-0000D3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2795" y="27603450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676275</xdr:colOff>
      <xdr:row>34</xdr:row>
      <xdr:rowOff>38100</xdr:rowOff>
    </xdr:from>
    <xdr:to>
      <xdr:col>3</xdr:col>
      <xdr:colOff>1133475</xdr:colOff>
      <xdr:row>34</xdr:row>
      <xdr:rowOff>857250</xdr:rowOff>
    </xdr:to>
    <xdr:pic>
      <xdr:nvPicPr>
        <xdr:cNvPr id="66516" name="Рисунок 32">
          <a:extLst>
            <a:ext uri="{FF2B5EF4-FFF2-40B4-BE49-F238E27FC236}">
              <a16:creationId xmlns:a16="http://schemas.microsoft.com/office/drawing/2014/main" id="{00000000-0008-0000-0100-0000D4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13295" y="28479750"/>
          <a:ext cx="4572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685800</xdr:colOff>
      <xdr:row>35</xdr:row>
      <xdr:rowOff>47625</xdr:rowOff>
    </xdr:from>
    <xdr:to>
      <xdr:col>3</xdr:col>
      <xdr:colOff>1143000</xdr:colOff>
      <xdr:row>35</xdr:row>
      <xdr:rowOff>866775</xdr:rowOff>
    </xdr:to>
    <xdr:pic>
      <xdr:nvPicPr>
        <xdr:cNvPr id="66517" name="Рисунок 33">
          <a:extLst>
            <a:ext uri="{FF2B5EF4-FFF2-40B4-BE49-F238E27FC236}">
              <a16:creationId xmlns:a16="http://schemas.microsoft.com/office/drawing/2014/main" id="{00000000-0008-0000-0100-0000D5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22820" y="29384625"/>
          <a:ext cx="4572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695325</xdr:colOff>
      <xdr:row>36</xdr:row>
      <xdr:rowOff>38100</xdr:rowOff>
    </xdr:from>
    <xdr:to>
      <xdr:col>3</xdr:col>
      <xdr:colOff>1152525</xdr:colOff>
      <xdr:row>36</xdr:row>
      <xdr:rowOff>857250</xdr:rowOff>
    </xdr:to>
    <xdr:pic>
      <xdr:nvPicPr>
        <xdr:cNvPr id="66518" name="Рисунок 34">
          <a:extLst>
            <a:ext uri="{FF2B5EF4-FFF2-40B4-BE49-F238E27FC236}">
              <a16:creationId xmlns:a16="http://schemas.microsoft.com/office/drawing/2014/main" id="{00000000-0008-0000-0100-0000D6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32345" y="30270450"/>
          <a:ext cx="4572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695325</xdr:colOff>
      <xdr:row>37</xdr:row>
      <xdr:rowOff>38100</xdr:rowOff>
    </xdr:from>
    <xdr:to>
      <xdr:col>3</xdr:col>
      <xdr:colOff>1152525</xdr:colOff>
      <xdr:row>37</xdr:row>
      <xdr:rowOff>857250</xdr:rowOff>
    </xdr:to>
    <xdr:pic>
      <xdr:nvPicPr>
        <xdr:cNvPr id="66519" name="Рисунок 35">
          <a:extLst>
            <a:ext uri="{FF2B5EF4-FFF2-40B4-BE49-F238E27FC236}">
              <a16:creationId xmlns:a16="http://schemas.microsoft.com/office/drawing/2014/main" id="{00000000-0008-0000-0100-0000D7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32345" y="31165800"/>
          <a:ext cx="4572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38</xdr:row>
      <xdr:rowOff>57150</xdr:rowOff>
    </xdr:from>
    <xdr:to>
      <xdr:col>3</xdr:col>
      <xdr:colOff>685800</xdr:colOff>
      <xdr:row>38</xdr:row>
      <xdr:rowOff>838200</xdr:rowOff>
    </xdr:to>
    <xdr:pic>
      <xdr:nvPicPr>
        <xdr:cNvPr id="66520" name="Рисунок 36">
          <a:extLst>
            <a:ext uri="{FF2B5EF4-FFF2-40B4-BE49-F238E27FC236}">
              <a16:creationId xmlns:a16="http://schemas.microsoft.com/office/drawing/2014/main" id="{00000000-0008-0000-0100-0000D8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89445" y="32080200"/>
          <a:ext cx="333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39</xdr:row>
      <xdr:rowOff>57150</xdr:rowOff>
    </xdr:from>
    <xdr:to>
      <xdr:col>3</xdr:col>
      <xdr:colOff>685800</xdr:colOff>
      <xdr:row>39</xdr:row>
      <xdr:rowOff>838200</xdr:rowOff>
    </xdr:to>
    <xdr:pic>
      <xdr:nvPicPr>
        <xdr:cNvPr id="66521" name="Рисунок 37">
          <a:extLst>
            <a:ext uri="{FF2B5EF4-FFF2-40B4-BE49-F238E27FC236}">
              <a16:creationId xmlns:a16="http://schemas.microsoft.com/office/drawing/2014/main" id="{00000000-0008-0000-0100-0000D9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89445" y="32975550"/>
          <a:ext cx="333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40</xdr:row>
      <xdr:rowOff>57150</xdr:rowOff>
    </xdr:from>
    <xdr:to>
      <xdr:col>3</xdr:col>
      <xdr:colOff>695325</xdr:colOff>
      <xdr:row>40</xdr:row>
      <xdr:rowOff>838200</xdr:rowOff>
    </xdr:to>
    <xdr:pic>
      <xdr:nvPicPr>
        <xdr:cNvPr id="66522" name="Рисунок 38">
          <a:extLst>
            <a:ext uri="{FF2B5EF4-FFF2-40B4-BE49-F238E27FC236}">
              <a16:creationId xmlns:a16="http://schemas.microsoft.com/office/drawing/2014/main" id="{00000000-0008-0000-0100-0000DA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98970" y="33870900"/>
          <a:ext cx="333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371475</xdr:colOff>
      <xdr:row>41</xdr:row>
      <xdr:rowOff>57150</xdr:rowOff>
    </xdr:from>
    <xdr:to>
      <xdr:col>3</xdr:col>
      <xdr:colOff>704850</xdr:colOff>
      <xdr:row>41</xdr:row>
      <xdr:rowOff>838200</xdr:rowOff>
    </xdr:to>
    <xdr:pic>
      <xdr:nvPicPr>
        <xdr:cNvPr id="66523" name="Рисунок 39">
          <a:extLst>
            <a:ext uri="{FF2B5EF4-FFF2-40B4-BE49-F238E27FC236}">
              <a16:creationId xmlns:a16="http://schemas.microsoft.com/office/drawing/2014/main" id="{00000000-0008-0000-0100-0000DB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08495" y="34766250"/>
          <a:ext cx="333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590550</xdr:colOff>
      <xdr:row>42</xdr:row>
      <xdr:rowOff>57150</xdr:rowOff>
    </xdr:from>
    <xdr:to>
      <xdr:col>3</xdr:col>
      <xdr:colOff>1181100</xdr:colOff>
      <xdr:row>42</xdr:row>
      <xdr:rowOff>838200</xdr:rowOff>
    </xdr:to>
    <xdr:pic>
      <xdr:nvPicPr>
        <xdr:cNvPr id="66524" name="Рисунок 102">
          <a:extLst>
            <a:ext uri="{FF2B5EF4-FFF2-40B4-BE49-F238E27FC236}">
              <a16:creationId xmlns:a16="http://schemas.microsoft.com/office/drawing/2014/main" id="{00000000-0008-0000-0100-0000DC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27570" y="35661600"/>
          <a:ext cx="5905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44</xdr:row>
      <xdr:rowOff>133350</xdr:rowOff>
    </xdr:from>
    <xdr:to>
      <xdr:col>3</xdr:col>
      <xdr:colOff>685800</xdr:colOff>
      <xdr:row>44</xdr:row>
      <xdr:rowOff>762000</xdr:rowOff>
    </xdr:to>
    <xdr:pic>
      <xdr:nvPicPr>
        <xdr:cNvPr id="66525" name="Рисунок 105">
          <a:extLst>
            <a:ext uri="{FF2B5EF4-FFF2-40B4-BE49-F238E27FC236}">
              <a16:creationId xmlns:a16="http://schemas.microsoft.com/office/drawing/2014/main" id="{00000000-0008-0000-0100-0000DD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51345" y="37528500"/>
          <a:ext cx="371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45</xdr:row>
      <xdr:rowOff>133350</xdr:rowOff>
    </xdr:from>
    <xdr:to>
      <xdr:col>3</xdr:col>
      <xdr:colOff>676275</xdr:colOff>
      <xdr:row>45</xdr:row>
      <xdr:rowOff>762000</xdr:rowOff>
    </xdr:to>
    <xdr:pic>
      <xdr:nvPicPr>
        <xdr:cNvPr id="66526" name="Рисунок 43">
          <a:extLst>
            <a:ext uri="{FF2B5EF4-FFF2-40B4-BE49-F238E27FC236}">
              <a16:creationId xmlns:a16="http://schemas.microsoft.com/office/drawing/2014/main" id="{00000000-0008-0000-0100-0000DE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51345" y="38423850"/>
          <a:ext cx="3619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723900</xdr:colOff>
      <xdr:row>5</xdr:row>
      <xdr:rowOff>247650</xdr:rowOff>
    </xdr:from>
    <xdr:to>
      <xdr:col>3</xdr:col>
      <xdr:colOff>1047750</xdr:colOff>
      <xdr:row>5</xdr:row>
      <xdr:rowOff>676275</xdr:rowOff>
    </xdr:to>
    <xdr:pic>
      <xdr:nvPicPr>
        <xdr:cNvPr id="66527" name="Рисунок 3">
          <a:extLst>
            <a:ext uri="{FF2B5EF4-FFF2-40B4-BE49-F238E27FC236}">
              <a16:creationId xmlns:a16="http://schemas.microsoft.com/office/drawing/2014/main" id="{00000000-0008-0000-0100-0000DF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60920" y="2724150"/>
          <a:ext cx="323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781050</xdr:colOff>
      <xdr:row>8</xdr:row>
      <xdr:rowOff>276225</xdr:rowOff>
    </xdr:from>
    <xdr:to>
      <xdr:col>3</xdr:col>
      <xdr:colOff>1028700</xdr:colOff>
      <xdr:row>8</xdr:row>
      <xdr:rowOff>695325</xdr:rowOff>
    </xdr:to>
    <xdr:pic>
      <xdr:nvPicPr>
        <xdr:cNvPr id="66528" name="Рисунок 6">
          <a:extLst>
            <a:ext uri="{FF2B5EF4-FFF2-40B4-BE49-F238E27FC236}">
              <a16:creationId xmlns:a16="http://schemas.microsoft.com/office/drawing/2014/main" id="{00000000-0008-0000-0100-0000E0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18070" y="5438775"/>
          <a:ext cx="2476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1095375</xdr:colOff>
      <xdr:row>25</xdr:row>
      <xdr:rowOff>47625</xdr:rowOff>
    </xdr:from>
    <xdr:to>
      <xdr:col>3</xdr:col>
      <xdr:colOff>1323975</xdr:colOff>
      <xdr:row>25</xdr:row>
      <xdr:rowOff>847725</xdr:rowOff>
    </xdr:to>
    <xdr:pic>
      <xdr:nvPicPr>
        <xdr:cNvPr id="66529" name="Рисунок 23">
          <a:extLst>
            <a:ext uri="{FF2B5EF4-FFF2-40B4-BE49-F238E27FC236}">
              <a16:creationId xmlns:a16="http://schemas.microsoft.com/office/drawing/2014/main" id="{00000000-0008-0000-0100-0000E1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32395" y="2043112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1085850</xdr:colOff>
      <xdr:row>26</xdr:row>
      <xdr:rowOff>57150</xdr:rowOff>
    </xdr:from>
    <xdr:to>
      <xdr:col>3</xdr:col>
      <xdr:colOff>1323975</xdr:colOff>
      <xdr:row>26</xdr:row>
      <xdr:rowOff>857250</xdr:rowOff>
    </xdr:to>
    <xdr:pic>
      <xdr:nvPicPr>
        <xdr:cNvPr id="66530" name="Рисунок 69">
          <a:extLst>
            <a:ext uri="{FF2B5EF4-FFF2-40B4-BE49-F238E27FC236}">
              <a16:creationId xmlns:a16="http://schemas.microsoft.com/office/drawing/2014/main" id="{00000000-0008-0000-0100-0000E2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22870" y="21336000"/>
          <a:ext cx="2381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1095375</xdr:colOff>
      <xdr:row>27</xdr:row>
      <xdr:rowOff>38100</xdr:rowOff>
    </xdr:from>
    <xdr:to>
      <xdr:col>3</xdr:col>
      <xdr:colOff>1323975</xdr:colOff>
      <xdr:row>27</xdr:row>
      <xdr:rowOff>838200</xdr:rowOff>
    </xdr:to>
    <xdr:pic>
      <xdr:nvPicPr>
        <xdr:cNvPr id="66531" name="Рисунок 25">
          <a:extLst>
            <a:ext uri="{FF2B5EF4-FFF2-40B4-BE49-F238E27FC236}">
              <a16:creationId xmlns:a16="http://schemas.microsoft.com/office/drawing/2014/main" id="{00000000-0008-0000-0100-0000E3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32395" y="22212300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1095375</xdr:colOff>
      <xdr:row>28</xdr:row>
      <xdr:rowOff>57150</xdr:rowOff>
    </xdr:from>
    <xdr:to>
      <xdr:col>3</xdr:col>
      <xdr:colOff>1323975</xdr:colOff>
      <xdr:row>28</xdr:row>
      <xdr:rowOff>847725</xdr:rowOff>
    </xdr:to>
    <xdr:pic>
      <xdr:nvPicPr>
        <xdr:cNvPr id="66532" name="Рисунок 75">
          <a:extLst>
            <a:ext uri="{FF2B5EF4-FFF2-40B4-BE49-F238E27FC236}">
              <a16:creationId xmlns:a16="http://schemas.microsoft.com/office/drawing/2014/main" id="{00000000-0008-0000-0100-0000E4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32395" y="23126700"/>
          <a:ext cx="2286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1085850</xdr:colOff>
      <xdr:row>29</xdr:row>
      <xdr:rowOff>47625</xdr:rowOff>
    </xdr:from>
    <xdr:to>
      <xdr:col>3</xdr:col>
      <xdr:colOff>1323975</xdr:colOff>
      <xdr:row>29</xdr:row>
      <xdr:rowOff>847725</xdr:rowOff>
    </xdr:to>
    <xdr:pic>
      <xdr:nvPicPr>
        <xdr:cNvPr id="66533" name="Рисунок 78">
          <a:extLst>
            <a:ext uri="{FF2B5EF4-FFF2-40B4-BE49-F238E27FC236}">
              <a16:creationId xmlns:a16="http://schemas.microsoft.com/office/drawing/2014/main" id="{00000000-0008-0000-0100-0000E5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22870" y="24012525"/>
          <a:ext cx="2381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1085850</xdr:colOff>
      <xdr:row>30</xdr:row>
      <xdr:rowOff>47625</xdr:rowOff>
    </xdr:from>
    <xdr:to>
      <xdr:col>3</xdr:col>
      <xdr:colOff>1314450</xdr:colOff>
      <xdr:row>30</xdr:row>
      <xdr:rowOff>847725</xdr:rowOff>
    </xdr:to>
    <xdr:pic>
      <xdr:nvPicPr>
        <xdr:cNvPr id="66534" name="Рисунок 28">
          <a:extLst>
            <a:ext uri="{FF2B5EF4-FFF2-40B4-BE49-F238E27FC236}">
              <a16:creationId xmlns:a16="http://schemas.microsoft.com/office/drawing/2014/main" id="{00000000-0008-0000-0100-0000E6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22870" y="2490787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1085850</xdr:colOff>
      <xdr:row>31</xdr:row>
      <xdr:rowOff>47625</xdr:rowOff>
    </xdr:from>
    <xdr:to>
      <xdr:col>3</xdr:col>
      <xdr:colOff>1314450</xdr:colOff>
      <xdr:row>31</xdr:row>
      <xdr:rowOff>847725</xdr:rowOff>
    </xdr:to>
    <xdr:pic>
      <xdr:nvPicPr>
        <xdr:cNvPr id="66535" name="Рисунок 29">
          <a:extLst>
            <a:ext uri="{FF2B5EF4-FFF2-40B4-BE49-F238E27FC236}">
              <a16:creationId xmlns:a16="http://schemas.microsoft.com/office/drawing/2014/main" id="{00000000-0008-0000-0100-0000E7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22870" y="2580322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1076325</xdr:colOff>
      <xdr:row>32</xdr:row>
      <xdr:rowOff>47625</xdr:rowOff>
    </xdr:from>
    <xdr:to>
      <xdr:col>3</xdr:col>
      <xdr:colOff>1304925</xdr:colOff>
      <xdr:row>32</xdr:row>
      <xdr:rowOff>847725</xdr:rowOff>
    </xdr:to>
    <xdr:pic>
      <xdr:nvPicPr>
        <xdr:cNvPr id="66536" name="Рисунок 30">
          <a:extLst>
            <a:ext uri="{FF2B5EF4-FFF2-40B4-BE49-F238E27FC236}">
              <a16:creationId xmlns:a16="http://schemas.microsoft.com/office/drawing/2014/main" id="{00000000-0008-0000-0100-0000E8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13345" y="2669857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1076325</xdr:colOff>
      <xdr:row>33</xdr:row>
      <xdr:rowOff>47625</xdr:rowOff>
    </xdr:from>
    <xdr:to>
      <xdr:col>3</xdr:col>
      <xdr:colOff>1304925</xdr:colOff>
      <xdr:row>33</xdr:row>
      <xdr:rowOff>847725</xdr:rowOff>
    </xdr:to>
    <xdr:pic>
      <xdr:nvPicPr>
        <xdr:cNvPr id="66537" name="Рисунок 31">
          <a:extLst>
            <a:ext uri="{FF2B5EF4-FFF2-40B4-BE49-F238E27FC236}">
              <a16:creationId xmlns:a16="http://schemas.microsoft.com/office/drawing/2014/main" id="{00000000-0008-0000-0100-0000E9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13345" y="27593925"/>
          <a:ext cx="228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1057275</xdr:colOff>
      <xdr:row>38</xdr:row>
      <xdr:rowOff>57150</xdr:rowOff>
    </xdr:from>
    <xdr:to>
      <xdr:col>3</xdr:col>
      <xdr:colOff>1390650</xdr:colOff>
      <xdr:row>38</xdr:row>
      <xdr:rowOff>838200</xdr:rowOff>
    </xdr:to>
    <xdr:pic>
      <xdr:nvPicPr>
        <xdr:cNvPr id="66538" name="Рисунок 36">
          <a:extLst>
            <a:ext uri="{FF2B5EF4-FFF2-40B4-BE49-F238E27FC236}">
              <a16:creationId xmlns:a16="http://schemas.microsoft.com/office/drawing/2014/main" id="{00000000-0008-0000-0100-0000EA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694295" y="32080200"/>
          <a:ext cx="333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1066800</xdr:colOff>
      <xdr:row>39</xdr:row>
      <xdr:rowOff>57150</xdr:rowOff>
    </xdr:from>
    <xdr:to>
      <xdr:col>3</xdr:col>
      <xdr:colOff>1400175</xdr:colOff>
      <xdr:row>39</xdr:row>
      <xdr:rowOff>838200</xdr:rowOff>
    </xdr:to>
    <xdr:pic>
      <xdr:nvPicPr>
        <xdr:cNvPr id="66539" name="Рисунок 37">
          <a:extLst>
            <a:ext uri="{FF2B5EF4-FFF2-40B4-BE49-F238E27FC236}">
              <a16:creationId xmlns:a16="http://schemas.microsoft.com/office/drawing/2014/main" id="{00000000-0008-0000-0100-0000EB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03820" y="32975550"/>
          <a:ext cx="333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1057275</xdr:colOff>
      <xdr:row>40</xdr:row>
      <xdr:rowOff>66675</xdr:rowOff>
    </xdr:from>
    <xdr:to>
      <xdr:col>3</xdr:col>
      <xdr:colOff>1390650</xdr:colOff>
      <xdr:row>40</xdr:row>
      <xdr:rowOff>847725</xdr:rowOff>
    </xdr:to>
    <xdr:pic>
      <xdr:nvPicPr>
        <xdr:cNvPr id="66540" name="Рисунок 38">
          <a:extLst>
            <a:ext uri="{FF2B5EF4-FFF2-40B4-BE49-F238E27FC236}">
              <a16:creationId xmlns:a16="http://schemas.microsoft.com/office/drawing/2014/main" id="{00000000-0008-0000-0100-0000EC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694295" y="33880425"/>
          <a:ext cx="333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1057275</xdr:colOff>
      <xdr:row>41</xdr:row>
      <xdr:rowOff>66675</xdr:rowOff>
    </xdr:from>
    <xdr:to>
      <xdr:col>3</xdr:col>
      <xdr:colOff>1390650</xdr:colOff>
      <xdr:row>41</xdr:row>
      <xdr:rowOff>838200</xdr:rowOff>
    </xdr:to>
    <xdr:pic>
      <xdr:nvPicPr>
        <xdr:cNvPr id="66541" name="Рисунок 39">
          <a:extLst>
            <a:ext uri="{FF2B5EF4-FFF2-40B4-BE49-F238E27FC236}">
              <a16:creationId xmlns:a16="http://schemas.microsoft.com/office/drawing/2014/main" id="{00000000-0008-0000-0100-0000ED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694295" y="34775775"/>
          <a:ext cx="3333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600075</xdr:colOff>
      <xdr:row>43</xdr:row>
      <xdr:rowOff>57150</xdr:rowOff>
    </xdr:from>
    <xdr:to>
      <xdr:col>3</xdr:col>
      <xdr:colOff>1190625</xdr:colOff>
      <xdr:row>43</xdr:row>
      <xdr:rowOff>838200</xdr:rowOff>
    </xdr:to>
    <xdr:pic>
      <xdr:nvPicPr>
        <xdr:cNvPr id="66542" name="Рисунок 41">
          <a:extLst>
            <a:ext uri="{FF2B5EF4-FFF2-40B4-BE49-F238E27FC236}">
              <a16:creationId xmlns:a16="http://schemas.microsoft.com/office/drawing/2014/main" id="{00000000-0008-0000-0100-0000EE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7095" y="36556950"/>
          <a:ext cx="5905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1085850</xdr:colOff>
      <xdr:row>44</xdr:row>
      <xdr:rowOff>133350</xdr:rowOff>
    </xdr:from>
    <xdr:to>
      <xdr:col>3</xdr:col>
      <xdr:colOff>1457325</xdr:colOff>
      <xdr:row>44</xdr:row>
      <xdr:rowOff>762000</xdr:rowOff>
    </xdr:to>
    <xdr:pic>
      <xdr:nvPicPr>
        <xdr:cNvPr id="66543" name="Рисунок 105">
          <a:extLst>
            <a:ext uri="{FF2B5EF4-FFF2-40B4-BE49-F238E27FC236}">
              <a16:creationId xmlns:a16="http://schemas.microsoft.com/office/drawing/2014/main" id="{00000000-0008-0000-0100-0000EF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22870" y="37528500"/>
          <a:ext cx="371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1076325</xdr:colOff>
      <xdr:row>45</xdr:row>
      <xdr:rowOff>133350</xdr:rowOff>
    </xdr:from>
    <xdr:to>
      <xdr:col>3</xdr:col>
      <xdr:colOff>1447800</xdr:colOff>
      <xdr:row>45</xdr:row>
      <xdr:rowOff>771525</xdr:rowOff>
    </xdr:to>
    <xdr:pic>
      <xdr:nvPicPr>
        <xdr:cNvPr id="66544" name="Рисунок 43">
          <a:extLst>
            <a:ext uri="{FF2B5EF4-FFF2-40B4-BE49-F238E27FC236}">
              <a16:creationId xmlns:a16="http://schemas.microsoft.com/office/drawing/2014/main" id="{00000000-0008-0000-0100-0000F0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13345" y="38423850"/>
          <a:ext cx="3714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695325</xdr:colOff>
      <xdr:row>10</xdr:row>
      <xdr:rowOff>47625</xdr:rowOff>
    </xdr:from>
    <xdr:to>
      <xdr:col>3</xdr:col>
      <xdr:colOff>1047750</xdr:colOff>
      <xdr:row>10</xdr:row>
      <xdr:rowOff>857250</xdr:rowOff>
    </xdr:to>
    <xdr:pic>
      <xdr:nvPicPr>
        <xdr:cNvPr id="66545" name="Рисунок 1">
          <a:extLst>
            <a:ext uri="{FF2B5EF4-FFF2-40B4-BE49-F238E27FC236}">
              <a16:creationId xmlns:a16="http://schemas.microsoft.com/office/drawing/2014/main" id="{00000000-0008-0000-0100-0000F103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32345" y="7000875"/>
          <a:ext cx="3524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19</xdr:row>
      <xdr:rowOff>114300</xdr:rowOff>
    </xdr:from>
    <xdr:to>
      <xdr:col>3</xdr:col>
      <xdr:colOff>1619250</xdr:colOff>
      <xdr:row>19</xdr:row>
      <xdr:rowOff>628650</xdr:rowOff>
    </xdr:to>
    <xdr:pic>
      <xdr:nvPicPr>
        <xdr:cNvPr id="65316" name="Имя ">
          <a:extLst>
            <a:ext uri="{FF2B5EF4-FFF2-40B4-BE49-F238E27FC236}">
              <a16:creationId xmlns:a16="http://schemas.microsoft.com/office/drawing/2014/main" id="{00000000-0008-0000-0200-000024F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37045" y="18240375"/>
          <a:ext cx="14192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 editAs="oneCell">
    <xdr:from>
      <xdr:col>3</xdr:col>
      <xdr:colOff>514350</xdr:colOff>
      <xdr:row>20</xdr:row>
      <xdr:rowOff>104775</xdr:rowOff>
    </xdr:from>
    <xdr:to>
      <xdr:col>3</xdr:col>
      <xdr:colOff>1238250</xdr:colOff>
      <xdr:row>23</xdr:row>
      <xdr:rowOff>152400</xdr:rowOff>
    </xdr:to>
    <xdr:pic>
      <xdr:nvPicPr>
        <xdr:cNvPr id="65317" name="Рисунок 29" descr="Ящик.emf">
          <a:extLst>
            <a:ext uri="{FF2B5EF4-FFF2-40B4-BE49-F238E27FC236}">
              <a16:creationId xmlns:a16="http://schemas.microsoft.com/office/drawing/2014/main" id="{00000000-0008-0000-0200-000025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51370" y="1893570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3</xdr:row>
      <xdr:rowOff>200025</xdr:rowOff>
    </xdr:from>
    <xdr:to>
      <xdr:col>3</xdr:col>
      <xdr:colOff>1562100</xdr:colOff>
      <xdr:row>3</xdr:row>
      <xdr:rowOff>771525</xdr:rowOff>
    </xdr:to>
    <xdr:pic>
      <xdr:nvPicPr>
        <xdr:cNvPr id="65322" name="Рисунок 1">
          <a:extLst>
            <a:ext uri="{FF2B5EF4-FFF2-40B4-BE49-F238E27FC236}">
              <a16:creationId xmlns:a16="http://schemas.microsoft.com/office/drawing/2014/main" id="{00000000-0008-0000-0200-00002A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89445" y="885825"/>
          <a:ext cx="1209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569462</xdr:colOff>
      <xdr:row>5</xdr:row>
      <xdr:rowOff>557968</xdr:rowOff>
    </xdr:from>
    <xdr:ext cx="396467" cy="24578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 rot="1373710">
          <a:off x="7205980" y="3034030"/>
          <a:ext cx="396875" cy="2457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720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642181</xdr:colOff>
      <xdr:row>3</xdr:row>
      <xdr:rowOff>199696</xdr:rowOff>
    </xdr:from>
    <xdr:ext cx="420574" cy="249064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 rot="20179958">
          <a:off x="7279005" y="885190"/>
          <a:ext cx="420370" cy="248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720</a:t>
          </a:r>
        </a:p>
      </xdr:txBody>
    </xdr:sp>
    <xdr:clientData/>
  </xdr:oneCellAnchor>
  <xdr:twoCellAnchor editAs="oneCell">
    <xdr:from>
      <xdr:col>3</xdr:col>
      <xdr:colOff>447675</xdr:colOff>
      <xdr:row>4</xdr:row>
      <xdr:rowOff>171450</xdr:rowOff>
    </xdr:from>
    <xdr:to>
      <xdr:col>3</xdr:col>
      <xdr:colOff>1514475</xdr:colOff>
      <xdr:row>4</xdr:row>
      <xdr:rowOff>685800</xdr:rowOff>
    </xdr:to>
    <xdr:pic>
      <xdr:nvPicPr>
        <xdr:cNvPr id="65325" name="Рисунок 2">
          <a:extLst>
            <a:ext uri="{FF2B5EF4-FFF2-40B4-BE49-F238E27FC236}">
              <a16:creationId xmlns:a16="http://schemas.microsoft.com/office/drawing/2014/main" id="{00000000-0008-0000-0200-00002D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4695" y="1752600"/>
          <a:ext cx="10668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669733</xdr:colOff>
      <xdr:row>4</xdr:row>
      <xdr:rowOff>141749</xdr:rowOff>
    </xdr:from>
    <xdr:ext cx="404407" cy="23948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 rot="20179958">
          <a:off x="7306310" y="1722755"/>
          <a:ext cx="404495" cy="239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600</a:t>
          </a:r>
        </a:p>
      </xdr:txBody>
    </xdr:sp>
    <xdr:clientData/>
  </xdr:oneCellAnchor>
  <xdr:twoCellAnchor editAs="oneCell">
    <xdr:from>
      <xdr:col>3</xdr:col>
      <xdr:colOff>466725</xdr:colOff>
      <xdr:row>5</xdr:row>
      <xdr:rowOff>76200</xdr:rowOff>
    </xdr:from>
    <xdr:to>
      <xdr:col>3</xdr:col>
      <xdr:colOff>1552575</xdr:colOff>
      <xdr:row>5</xdr:row>
      <xdr:rowOff>790575</xdr:rowOff>
    </xdr:to>
    <xdr:pic>
      <xdr:nvPicPr>
        <xdr:cNvPr id="65327" name="Рисунок 3">
          <a:extLst>
            <a:ext uri="{FF2B5EF4-FFF2-40B4-BE49-F238E27FC236}">
              <a16:creationId xmlns:a16="http://schemas.microsoft.com/office/drawing/2014/main" id="{00000000-0008-0000-0200-00002F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03745" y="2552700"/>
          <a:ext cx="10858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567165</xdr:colOff>
      <xdr:row>5</xdr:row>
      <xdr:rowOff>76463</xdr:rowOff>
    </xdr:from>
    <xdr:ext cx="420112" cy="249464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 rot="20179958">
          <a:off x="7204075" y="2552700"/>
          <a:ext cx="419735" cy="249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720</a:t>
          </a:r>
        </a:p>
      </xdr:txBody>
    </xdr:sp>
    <xdr:clientData/>
  </xdr:oneCellAnchor>
  <xdr:twoCellAnchor editAs="oneCell">
    <xdr:from>
      <xdr:col>3</xdr:col>
      <xdr:colOff>590550</xdr:colOff>
      <xdr:row>6</xdr:row>
      <xdr:rowOff>161925</xdr:rowOff>
    </xdr:from>
    <xdr:to>
      <xdr:col>3</xdr:col>
      <xdr:colOff>1514475</xdr:colOff>
      <xdr:row>6</xdr:row>
      <xdr:rowOff>762000</xdr:rowOff>
    </xdr:to>
    <xdr:pic>
      <xdr:nvPicPr>
        <xdr:cNvPr id="65329" name="Рисунок 32">
          <a:extLst>
            <a:ext uri="{FF2B5EF4-FFF2-40B4-BE49-F238E27FC236}">
              <a16:creationId xmlns:a16="http://schemas.microsoft.com/office/drawing/2014/main" id="{00000000-0008-0000-0200-000031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27570" y="3533775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681049</xdr:colOff>
      <xdr:row>6</xdr:row>
      <xdr:rowOff>112593</xdr:rowOff>
    </xdr:from>
    <xdr:ext cx="411354" cy="23200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 rot="20179958">
          <a:off x="7317740" y="3484245"/>
          <a:ext cx="411480" cy="23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600</a:t>
          </a:r>
        </a:p>
      </xdr:txBody>
    </xdr:sp>
    <xdr:clientData/>
  </xdr:oneCellAnchor>
  <xdr:oneCellAnchor>
    <xdr:from>
      <xdr:col>3</xdr:col>
      <xdr:colOff>642071</xdr:colOff>
      <xdr:row>6</xdr:row>
      <xdr:rowOff>569968</xdr:rowOff>
    </xdr:from>
    <xdr:ext cx="420574" cy="23200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 rot="1373710">
          <a:off x="7279005" y="3941445"/>
          <a:ext cx="420370" cy="23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60</a:t>
          </a:r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3</xdr:col>
      <xdr:colOff>438150</xdr:colOff>
      <xdr:row>7</xdr:row>
      <xdr:rowOff>104775</xdr:rowOff>
    </xdr:from>
    <xdr:to>
      <xdr:col>3</xdr:col>
      <xdr:colOff>1466850</xdr:colOff>
      <xdr:row>7</xdr:row>
      <xdr:rowOff>742950</xdr:rowOff>
    </xdr:to>
    <xdr:pic>
      <xdr:nvPicPr>
        <xdr:cNvPr id="65332" name="Рисунок 5">
          <a:extLst>
            <a:ext uri="{FF2B5EF4-FFF2-40B4-BE49-F238E27FC236}">
              <a16:creationId xmlns:a16="http://schemas.microsoft.com/office/drawing/2014/main" id="{00000000-0008-0000-0200-000034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75170" y="4371975"/>
          <a:ext cx="10287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531836</xdr:colOff>
      <xdr:row>7</xdr:row>
      <xdr:rowOff>75864</xdr:rowOff>
    </xdr:from>
    <xdr:ext cx="412571" cy="26704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 rot="20179958">
          <a:off x="7168515" y="4342765"/>
          <a:ext cx="412750" cy="267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720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525345</xdr:colOff>
      <xdr:row>7</xdr:row>
      <xdr:rowOff>530563</xdr:rowOff>
    </xdr:from>
    <xdr:ext cx="404247" cy="272649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 rot="1373710">
          <a:off x="7162165" y="4797425"/>
          <a:ext cx="403860" cy="27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600</a:t>
          </a:r>
          <a:endParaRPr lang="ru-RU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3</xdr:col>
      <xdr:colOff>485775</xdr:colOff>
      <xdr:row>8</xdr:row>
      <xdr:rowOff>200025</xdr:rowOff>
    </xdr:from>
    <xdr:to>
      <xdr:col>3</xdr:col>
      <xdr:colOff>1590675</xdr:colOff>
      <xdr:row>8</xdr:row>
      <xdr:rowOff>714375</xdr:rowOff>
    </xdr:to>
    <xdr:pic>
      <xdr:nvPicPr>
        <xdr:cNvPr id="65335" name="Рисунок 6">
          <a:extLst>
            <a:ext uri="{FF2B5EF4-FFF2-40B4-BE49-F238E27FC236}">
              <a16:creationId xmlns:a16="http://schemas.microsoft.com/office/drawing/2014/main" id="{00000000-0008-0000-0200-000037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2795" y="5362575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746264</xdr:colOff>
      <xdr:row>8</xdr:row>
      <xdr:rowOff>208618</xdr:rowOff>
    </xdr:from>
    <xdr:ext cx="404698" cy="25684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 rot="20179958">
          <a:off x="7383145" y="5370830"/>
          <a:ext cx="404495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1200</a:t>
          </a:r>
        </a:p>
      </xdr:txBody>
    </xdr:sp>
    <xdr:clientData/>
  </xdr:oneCellAnchor>
  <xdr:twoCellAnchor editAs="oneCell">
    <xdr:from>
      <xdr:col>3</xdr:col>
      <xdr:colOff>333375</xdr:colOff>
      <xdr:row>9</xdr:row>
      <xdr:rowOff>171450</xdr:rowOff>
    </xdr:from>
    <xdr:to>
      <xdr:col>3</xdr:col>
      <xdr:colOff>1609725</xdr:colOff>
      <xdr:row>9</xdr:row>
      <xdr:rowOff>752475</xdr:rowOff>
    </xdr:to>
    <xdr:pic>
      <xdr:nvPicPr>
        <xdr:cNvPr id="65337" name="Рисунок 7">
          <a:extLst>
            <a:ext uri="{FF2B5EF4-FFF2-40B4-BE49-F238E27FC236}">
              <a16:creationId xmlns:a16="http://schemas.microsoft.com/office/drawing/2014/main" id="{00000000-0008-0000-0200-000039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70395" y="6229350"/>
          <a:ext cx="12763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643867</xdr:colOff>
      <xdr:row>9</xdr:row>
      <xdr:rowOff>230455</xdr:rowOff>
    </xdr:from>
    <xdr:ext cx="411430" cy="26463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 rot="20179958">
          <a:off x="7280275" y="6287770"/>
          <a:ext cx="41148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1440</a:t>
          </a:r>
        </a:p>
      </xdr:txBody>
    </xdr:sp>
    <xdr:clientData/>
  </xdr:oneCellAnchor>
  <xdr:twoCellAnchor editAs="oneCell">
    <xdr:from>
      <xdr:col>3</xdr:col>
      <xdr:colOff>419100</xdr:colOff>
      <xdr:row>10</xdr:row>
      <xdr:rowOff>190500</xdr:rowOff>
    </xdr:from>
    <xdr:to>
      <xdr:col>3</xdr:col>
      <xdr:colOff>1562100</xdr:colOff>
      <xdr:row>10</xdr:row>
      <xdr:rowOff>723900</xdr:rowOff>
    </xdr:to>
    <xdr:pic>
      <xdr:nvPicPr>
        <xdr:cNvPr id="65339" name="Рисунок 8">
          <a:extLst>
            <a:ext uri="{FF2B5EF4-FFF2-40B4-BE49-F238E27FC236}">
              <a16:creationId xmlns:a16="http://schemas.microsoft.com/office/drawing/2014/main" id="{00000000-0008-0000-0200-00003B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56120" y="7143750"/>
          <a:ext cx="1143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748629</xdr:colOff>
      <xdr:row>10</xdr:row>
      <xdr:rowOff>191126</xdr:rowOff>
    </xdr:from>
    <xdr:ext cx="390101" cy="25684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 rot="20179958">
          <a:off x="7385050" y="7143750"/>
          <a:ext cx="390525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1220</a:t>
          </a:r>
        </a:p>
      </xdr:txBody>
    </xdr:sp>
    <xdr:clientData/>
  </xdr:oneCellAnchor>
  <xdr:twoCellAnchor editAs="oneCell">
    <xdr:from>
      <xdr:col>3</xdr:col>
      <xdr:colOff>323850</xdr:colOff>
      <xdr:row>11</xdr:row>
      <xdr:rowOff>180975</xdr:rowOff>
    </xdr:from>
    <xdr:to>
      <xdr:col>3</xdr:col>
      <xdr:colOff>1600200</xdr:colOff>
      <xdr:row>11</xdr:row>
      <xdr:rowOff>762000</xdr:rowOff>
    </xdr:to>
    <xdr:pic>
      <xdr:nvPicPr>
        <xdr:cNvPr id="65341" name="Рисунок 9">
          <a:extLst>
            <a:ext uri="{FF2B5EF4-FFF2-40B4-BE49-F238E27FC236}">
              <a16:creationId xmlns:a16="http://schemas.microsoft.com/office/drawing/2014/main" id="{00000000-0008-0000-0200-00003D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60870" y="8029575"/>
          <a:ext cx="12763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601331</xdr:colOff>
      <xdr:row>11</xdr:row>
      <xdr:rowOff>207174</xdr:rowOff>
    </xdr:from>
    <xdr:ext cx="410842" cy="26463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 rot="20179958">
          <a:off x="7237730" y="8055610"/>
          <a:ext cx="41084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1460</a:t>
          </a:r>
        </a:p>
      </xdr:txBody>
    </xdr:sp>
    <xdr:clientData/>
  </xdr:oneCellAnchor>
  <xdr:twoCellAnchor editAs="oneCell">
    <xdr:from>
      <xdr:col>3</xdr:col>
      <xdr:colOff>476250</xdr:colOff>
      <xdr:row>12</xdr:row>
      <xdr:rowOff>200025</xdr:rowOff>
    </xdr:from>
    <xdr:to>
      <xdr:col>3</xdr:col>
      <xdr:colOff>1562100</xdr:colOff>
      <xdr:row>12</xdr:row>
      <xdr:rowOff>704850</xdr:rowOff>
    </xdr:to>
    <xdr:pic>
      <xdr:nvPicPr>
        <xdr:cNvPr id="65343" name="Рисунок 10">
          <a:extLst>
            <a:ext uri="{FF2B5EF4-FFF2-40B4-BE49-F238E27FC236}">
              <a16:creationId xmlns:a16="http://schemas.microsoft.com/office/drawing/2014/main" id="{00000000-0008-0000-0200-00003F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13270" y="8943975"/>
          <a:ext cx="10858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751622</xdr:colOff>
      <xdr:row>12</xdr:row>
      <xdr:rowOff>190106</xdr:rowOff>
    </xdr:from>
    <xdr:ext cx="404126" cy="249464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 rot="20179958">
          <a:off x="7388225" y="8933815"/>
          <a:ext cx="404495" cy="249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800">
              <a:latin typeface="Times New Roman" panose="02020603050405020304" pitchFamily="18" charset="0"/>
              <a:cs typeface="Times New Roman" panose="02020603050405020304" pitchFamily="18" charset="0"/>
            </a:rPr>
            <a:t>900</a:t>
          </a:r>
        </a:p>
      </xdr:txBody>
    </xdr:sp>
    <xdr:clientData/>
  </xdr:oneCellAnchor>
  <xdr:twoCellAnchor editAs="oneCell">
    <xdr:from>
      <xdr:col>3</xdr:col>
      <xdr:colOff>819150</xdr:colOff>
      <xdr:row>13</xdr:row>
      <xdr:rowOff>66675</xdr:rowOff>
    </xdr:from>
    <xdr:to>
      <xdr:col>3</xdr:col>
      <xdr:colOff>971550</xdr:colOff>
      <xdr:row>13</xdr:row>
      <xdr:rowOff>838200</xdr:rowOff>
    </xdr:to>
    <xdr:pic>
      <xdr:nvPicPr>
        <xdr:cNvPr id="65345" name="Рисунок 11">
          <a:extLst>
            <a:ext uri="{FF2B5EF4-FFF2-40B4-BE49-F238E27FC236}">
              <a16:creationId xmlns:a16="http://schemas.microsoft.com/office/drawing/2014/main" id="{00000000-0008-0000-0200-000041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56170" y="9705975"/>
          <a:ext cx="1524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390525</xdr:colOff>
      <xdr:row>14</xdr:row>
      <xdr:rowOff>95250</xdr:rowOff>
    </xdr:from>
    <xdr:to>
      <xdr:col>3</xdr:col>
      <xdr:colOff>1447800</xdr:colOff>
      <xdr:row>14</xdr:row>
      <xdr:rowOff>828675</xdr:rowOff>
    </xdr:to>
    <xdr:pic>
      <xdr:nvPicPr>
        <xdr:cNvPr id="65346" name="Рисунок 12">
          <a:extLst>
            <a:ext uri="{FF2B5EF4-FFF2-40B4-BE49-F238E27FC236}">
              <a16:creationId xmlns:a16="http://schemas.microsoft.com/office/drawing/2014/main" id="{00000000-0008-0000-0200-000042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7545" y="10629900"/>
          <a:ext cx="10572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428625</xdr:colOff>
      <xdr:row>15</xdr:row>
      <xdr:rowOff>66675</xdr:rowOff>
    </xdr:from>
    <xdr:to>
      <xdr:col>3</xdr:col>
      <xdr:colOff>1362075</xdr:colOff>
      <xdr:row>15</xdr:row>
      <xdr:rowOff>819150</xdr:rowOff>
    </xdr:to>
    <xdr:pic>
      <xdr:nvPicPr>
        <xdr:cNvPr id="65347" name="Рисунок 15">
          <a:extLst>
            <a:ext uri="{FF2B5EF4-FFF2-40B4-BE49-F238E27FC236}">
              <a16:creationId xmlns:a16="http://schemas.microsoft.com/office/drawing/2014/main" id="{00000000-0008-0000-0200-000043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65645" y="11496675"/>
          <a:ext cx="9334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16</xdr:row>
      <xdr:rowOff>28575</xdr:rowOff>
    </xdr:from>
    <xdr:to>
      <xdr:col>3</xdr:col>
      <xdr:colOff>1438275</xdr:colOff>
      <xdr:row>16</xdr:row>
      <xdr:rowOff>885825</xdr:rowOff>
    </xdr:to>
    <xdr:pic>
      <xdr:nvPicPr>
        <xdr:cNvPr id="65348" name="Рисунок 16">
          <a:extLst>
            <a:ext uri="{FF2B5EF4-FFF2-40B4-BE49-F238E27FC236}">
              <a16:creationId xmlns:a16="http://schemas.microsoft.com/office/drawing/2014/main" id="{00000000-0008-0000-0200-000044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51345" y="12353925"/>
          <a:ext cx="112395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638175</xdr:colOff>
      <xdr:row>18</xdr:row>
      <xdr:rowOff>114300</xdr:rowOff>
    </xdr:from>
    <xdr:to>
      <xdr:col>3</xdr:col>
      <xdr:colOff>1123950</xdr:colOff>
      <xdr:row>18</xdr:row>
      <xdr:rowOff>609600</xdr:rowOff>
    </xdr:to>
    <xdr:pic>
      <xdr:nvPicPr>
        <xdr:cNvPr id="65350" name="Рисунок 20">
          <a:extLst>
            <a:ext uri="{FF2B5EF4-FFF2-40B4-BE49-F238E27FC236}">
              <a16:creationId xmlns:a16="http://schemas.microsoft.com/office/drawing/2014/main" id="{00000000-0008-0000-0200-000046F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75195" y="17535525"/>
          <a:ext cx="4857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863344</xdr:colOff>
      <xdr:row>17</xdr:row>
      <xdr:rowOff>57623</xdr:rowOff>
    </xdr:from>
    <xdr:to>
      <xdr:col>3</xdr:col>
      <xdr:colOff>1000872</xdr:colOff>
      <xdr:row>17</xdr:row>
      <xdr:rowOff>831219</xdr:rowOff>
    </xdr:to>
    <xdr:pic>
      <xdr:nvPicPr>
        <xdr:cNvPr id="38" name="Рисунок 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7503630" y="13310980"/>
          <a:ext cx="137528" cy="773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12</xdr:row>
      <xdr:rowOff>38100</xdr:rowOff>
    </xdr:from>
    <xdr:to>
      <xdr:col>3</xdr:col>
      <xdr:colOff>1371600</xdr:colOff>
      <xdr:row>12</xdr:row>
      <xdr:rowOff>990600</xdr:rowOff>
    </xdr:to>
    <xdr:pic>
      <xdr:nvPicPr>
        <xdr:cNvPr id="56976" name="Рисунок 13">
          <a:extLst>
            <a:ext uri="{FF2B5EF4-FFF2-40B4-BE49-F238E27FC236}">
              <a16:creationId xmlns:a16="http://schemas.microsoft.com/office/drawing/2014/main" id="{00000000-0008-0000-0300-000090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32040" y="5753100"/>
          <a:ext cx="9620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447675</xdr:colOff>
      <xdr:row>11</xdr:row>
      <xdr:rowOff>47625</xdr:rowOff>
    </xdr:from>
    <xdr:to>
      <xdr:col>3</xdr:col>
      <xdr:colOff>1333500</xdr:colOff>
      <xdr:row>11</xdr:row>
      <xdr:rowOff>962025</xdr:rowOff>
    </xdr:to>
    <xdr:pic>
      <xdr:nvPicPr>
        <xdr:cNvPr id="56977" name="Рисунок 14">
          <a:extLst>
            <a:ext uri="{FF2B5EF4-FFF2-40B4-BE49-F238E27FC236}">
              <a16:creationId xmlns:a16="http://schemas.microsoft.com/office/drawing/2014/main" id="{00000000-0008-0000-0300-000091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70140" y="4743450"/>
          <a:ext cx="8858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10</xdr:row>
      <xdr:rowOff>66675</xdr:rowOff>
    </xdr:from>
    <xdr:to>
      <xdr:col>3</xdr:col>
      <xdr:colOff>1285875</xdr:colOff>
      <xdr:row>10</xdr:row>
      <xdr:rowOff>942975</xdr:rowOff>
    </xdr:to>
    <xdr:pic>
      <xdr:nvPicPr>
        <xdr:cNvPr id="56978" name="Рисунок 15">
          <a:extLst>
            <a:ext uri="{FF2B5EF4-FFF2-40B4-BE49-F238E27FC236}">
              <a16:creationId xmlns:a16="http://schemas.microsoft.com/office/drawing/2014/main" id="{00000000-0008-0000-0300-000092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08240" y="3743325"/>
          <a:ext cx="8001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495300</xdr:colOff>
      <xdr:row>9</xdr:row>
      <xdr:rowOff>85725</xdr:rowOff>
    </xdr:from>
    <xdr:to>
      <xdr:col>3</xdr:col>
      <xdr:colOff>1219200</xdr:colOff>
      <xdr:row>9</xdr:row>
      <xdr:rowOff>923925</xdr:rowOff>
    </xdr:to>
    <xdr:pic>
      <xdr:nvPicPr>
        <xdr:cNvPr id="56979" name="Рисунок 16">
          <a:extLst>
            <a:ext uri="{FF2B5EF4-FFF2-40B4-BE49-F238E27FC236}">
              <a16:creationId xmlns:a16="http://schemas.microsoft.com/office/drawing/2014/main" id="{00000000-0008-0000-0300-000093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17765" y="2743200"/>
          <a:ext cx="7239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542925</xdr:colOff>
      <xdr:row>8</xdr:row>
      <xdr:rowOff>114300</xdr:rowOff>
    </xdr:from>
    <xdr:to>
      <xdr:col>3</xdr:col>
      <xdr:colOff>1181100</xdr:colOff>
      <xdr:row>8</xdr:row>
      <xdr:rowOff>914400</xdr:rowOff>
    </xdr:to>
    <xdr:pic>
      <xdr:nvPicPr>
        <xdr:cNvPr id="56980" name="Рисунок 17">
          <a:extLst>
            <a:ext uri="{FF2B5EF4-FFF2-40B4-BE49-F238E27FC236}">
              <a16:creationId xmlns:a16="http://schemas.microsoft.com/office/drawing/2014/main" id="{00000000-0008-0000-0300-000094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65390" y="1752600"/>
          <a:ext cx="6381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571500</xdr:colOff>
      <xdr:row>13</xdr:row>
      <xdr:rowOff>104775</xdr:rowOff>
    </xdr:from>
    <xdr:to>
      <xdr:col>3</xdr:col>
      <xdr:colOff>1228725</xdr:colOff>
      <xdr:row>13</xdr:row>
      <xdr:rowOff>942975</xdr:rowOff>
    </xdr:to>
    <xdr:pic>
      <xdr:nvPicPr>
        <xdr:cNvPr id="56981" name="Рисунок 23">
          <a:extLst>
            <a:ext uri="{FF2B5EF4-FFF2-40B4-BE49-F238E27FC236}">
              <a16:creationId xmlns:a16="http://schemas.microsoft.com/office/drawing/2014/main" id="{00000000-0008-0000-0300-000095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93965" y="6838950"/>
          <a:ext cx="6572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552450</xdr:colOff>
      <xdr:row>14</xdr:row>
      <xdr:rowOff>104775</xdr:rowOff>
    </xdr:from>
    <xdr:to>
      <xdr:col>3</xdr:col>
      <xdr:colOff>1219200</xdr:colOff>
      <xdr:row>14</xdr:row>
      <xdr:rowOff>952500</xdr:rowOff>
    </xdr:to>
    <xdr:pic>
      <xdr:nvPicPr>
        <xdr:cNvPr id="56982" name="Рисунок 24">
          <a:extLst>
            <a:ext uri="{FF2B5EF4-FFF2-40B4-BE49-F238E27FC236}">
              <a16:creationId xmlns:a16="http://schemas.microsoft.com/office/drawing/2014/main" id="{00000000-0008-0000-0300-000096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74915" y="7858125"/>
          <a:ext cx="6667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809625</xdr:colOff>
      <xdr:row>29</xdr:row>
      <xdr:rowOff>152400</xdr:rowOff>
    </xdr:from>
    <xdr:to>
      <xdr:col>3</xdr:col>
      <xdr:colOff>1057275</xdr:colOff>
      <xdr:row>29</xdr:row>
      <xdr:rowOff>952500</xdr:rowOff>
    </xdr:to>
    <xdr:pic>
      <xdr:nvPicPr>
        <xdr:cNvPr id="56983" name="Рисунок 25">
          <a:extLst>
            <a:ext uri="{FF2B5EF4-FFF2-40B4-BE49-F238E27FC236}">
              <a16:creationId xmlns:a16="http://schemas.microsoft.com/office/drawing/2014/main" id="{00000000-0008-0000-0300-000097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32090" y="13820775"/>
          <a:ext cx="2476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657225</xdr:colOff>
      <xdr:row>15</xdr:row>
      <xdr:rowOff>66675</xdr:rowOff>
    </xdr:from>
    <xdr:to>
      <xdr:col>3</xdr:col>
      <xdr:colOff>1057275</xdr:colOff>
      <xdr:row>16</xdr:row>
      <xdr:rowOff>466726</xdr:rowOff>
    </xdr:to>
    <xdr:pic>
      <xdr:nvPicPr>
        <xdr:cNvPr id="56984" name="Рисунок 1">
          <a:extLst>
            <a:ext uri="{FF2B5EF4-FFF2-40B4-BE49-F238E27FC236}">
              <a16:creationId xmlns:a16="http://schemas.microsoft.com/office/drawing/2014/main" id="{00000000-0008-0000-0300-000098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79690" y="8839200"/>
          <a:ext cx="4000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19</xdr:row>
      <xdr:rowOff>161925</xdr:rowOff>
    </xdr:from>
    <xdr:to>
      <xdr:col>3</xdr:col>
      <xdr:colOff>1409700</xdr:colOff>
      <xdr:row>23</xdr:row>
      <xdr:rowOff>171449</xdr:rowOff>
    </xdr:to>
    <xdr:pic>
      <xdr:nvPicPr>
        <xdr:cNvPr id="56985" name="Рисунок 4">
          <a:extLst>
            <a:ext uri="{FF2B5EF4-FFF2-40B4-BE49-F238E27FC236}">
              <a16:creationId xmlns:a16="http://schemas.microsoft.com/office/drawing/2014/main" id="{00000000-0008-0000-0300-000099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84415" y="11068050"/>
          <a:ext cx="1047750" cy="1113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24</xdr:row>
      <xdr:rowOff>142875</xdr:rowOff>
    </xdr:from>
    <xdr:to>
      <xdr:col>3</xdr:col>
      <xdr:colOff>1400175</xdr:colOff>
      <xdr:row>28</xdr:row>
      <xdr:rowOff>152400</xdr:rowOff>
    </xdr:to>
    <xdr:pic>
      <xdr:nvPicPr>
        <xdr:cNvPr id="56986" name="Рисунок 16" descr="L.N-3C!.png">
          <a:extLst>
            <a:ext uri="{FF2B5EF4-FFF2-40B4-BE49-F238E27FC236}">
              <a16:creationId xmlns:a16="http://schemas.microsoft.com/office/drawing/2014/main" id="{00000000-0008-0000-0300-00009A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46315" y="12430125"/>
          <a:ext cx="10763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762000</xdr:colOff>
      <xdr:row>17</xdr:row>
      <xdr:rowOff>66675</xdr:rowOff>
    </xdr:from>
    <xdr:to>
      <xdr:col>3</xdr:col>
      <xdr:colOff>952500</xdr:colOff>
      <xdr:row>18</xdr:row>
      <xdr:rowOff>466725</xdr:rowOff>
    </xdr:to>
    <xdr:pic>
      <xdr:nvPicPr>
        <xdr:cNvPr id="56987" name="Рисунок 1">
          <a:extLst>
            <a:ext uri="{FF2B5EF4-FFF2-40B4-BE49-F238E27FC236}">
              <a16:creationId xmlns:a16="http://schemas.microsoft.com/office/drawing/2014/main" id="{00000000-0008-0000-0300-00009BD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84465" y="9906000"/>
          <a:ext cx="1905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8</xdr:row>
      <xdr:rowOff>123825</xdr:rowOff>
    </xdr:from>
    <xdr:to>
      <xdr:col>3</xdr:col>
      <xdr:colOff>1073772</xdr:colOff>
      <xdr:row>8</xdr:row>
      <xdr:rowOff>972183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8925" y="1762125"/>
          <a:ext cx="730250" cy="847725"/>
        </a:xfrm>
        <a:prstGeom prst="rect">
          <a:avLst/>
        </a:prstGeom>
      </xdr:spPr>
    </xdr:pic>
    <xdr:clientData/>
  </xdr:twoCellAnchor>
  <xdr:twoCellAnchor editAs="oneCell">
    <xdr:from>
      <xdr:col>3</xdr:col>
      <xdr:colOff>1302525</xdr:colOff>
      <xdr:row>8</xdr:row>
      <xdr:rowOff>130950</xdr:rowOff>
    </xdr:from>
    <xdr:to>
      <xdr:col>3</xdr:col>
      <xdr:colOff>1991633</xdr:colOff>
      <xdr:row>8</xdr:row>
      <xdr:rowOff>979308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410" y="1769110"/>
          <a:ext cx="688975" cy="848360"/>
        </a:xfrm>
        <a:prstGeom prst="rect">
          <a:avLst/>
        </a:prstGeom>
      </xdr:spPr>
    </xdr:pic>
    <xdr:clientData/>
  </xdr:twoCellAnchor>
  <xdr:twoCellAnchor editAs="oneCell">
    <xdr:from>
      <xdr:col>3</xdr:col>
      <xdr:colOff>52351</xdr:colOff>
      <xdr:row>9</xdr:row>
      <xdr:rowOff>123825</xdr:rowOff>
    </xdr:from>
    <xdr:to>
      <xdr:col>3</xdr:col>
      <xdr:colOff>1074818</xdr:colOff>
      <xdr:row>9</xdr:row>
      <xdr:rowOff>910233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8095" y="2819400"/>
          <a:ext cx="1022350" cy="786130"/>
        </a:xfrm>
        <a:prstGeom prst="rect">
          <a:avLst/>
        </a:prstGeom>
      </xdr:spPr>
    </xdr:pic>
    <xdr:clientData/>
  </xdr:twoCellAnchor>
  <xdr:twoCellAnchor editAs="oneCell">
    <xdr:from>
      <xdr:col>3</xdr:col>
      <xdr:colOff>1173902</xdr:colOff>
      <xdr:row>9</xdr:row>
      <xdr:rowOff>140475</xdr:rowOff>
    </xdr:from>
    <xdr:to>
      <xdr:col>3</xdr:col>
      <xdr:colOff>2191971</xdr:colOff>
      <xdr:row>9</xdr:row>
      <xdr:rowOff>926883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9505" y="2835910"/>
          <a:ext cx="1017905" cy="786130"/>
        </a:xfrm>
        <a:prstGeom prst="rect">
          <a:avLst/>
        </a:prstGeom>
      </xdr:spPr>
    </xdr:pic>
    <xdr:clientData/>
  </xdr:twoCellAnchor>
  <xdr:twoCellAnchor editAs="oneCell">
    <xdr:from>
      <xdr:col>3</xdr:col>
      <xdr:colOff>47550</xdr:colOff>
      <xdr:row>10</xdr:row>
      <xdr:rowOff>47550</xdr:rowOff>
    </xdr:from>
    <xdr:to>
      <xdr:col>3</xdr:col>
      <xdr:colOff>1003525</xdr:colOff>
      <xdr:row>10</xdr:row>
      <xdr:rowOff>895908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015" y="3837940"/>
          <a:ext cx="956310" cy="848360"/>
        </a:xfrm>
        <a:prstGeom prst="rect">
          <a:avLst/>
        </a:prstGeom>
      </xdr:spPr>
    </xdr:pic>
    <xdr:clientData/>
  </xdr:twoCellAnchor>
  <xdr:twoCellAnchor editAs="oneCell">
    <xdr:from>
      <xdr:col>3</xdr:col>
      <xdr:colOff>1254825</xdr:colOff>
      <xdr:row>10</xdr:row>
      <xdr:rowOff>45150</xdr:rowOff>
    </xdr:from>
    <xdr:to>
      <xdr:col>3</xdr:col>
      <xdr:colOff>2145153</xdr:colOff>
      <xdr:row>10</xdr:row>
      <xdr:rowOff>893508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785" y="3836035"/>
          <a:ext cx="890270" cy="848360"/>
        </a:xfrm>
        <a:prstGeom prst="rect">
          <a:avLst/>
        </a:prstGeom>
      </xdr:spPr>
    </xdr:pic>
    <xdr:clientData/>
  </xdr:twoCellAnchor>
  <xdr:twoCellAnchor editAs="oneCell">
    <xdr:from>
      <xdr:col>3</xdr:col>
      <xdr:colOff>61800</xdr:colOff>
      <xdr:row>11</xdr:row>
      <xdr:rowOff>297674</xdr:rowOff>
    </xdr:from>
    <xdr:to>
      <xdr:col>3</xdr:col>
      <xdr:colOff>1043944</xdr:colOff>
      <xdr:row>11</xdr:row>
      <xdr:rowOff>948257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620" y="5012055"/>
          <a:ext cx="982345" cy="650875"/>
        </a:xfrm>
        <a:prstGeom prst="rect">
          <a:avLst/>
        </a:prstGeom>
      </xdr:spPr>
    </xdr:pic>
    <xdr:clientData/>
  </xdr:twoCellAnchor>
  <xdr:twoCellAnchor editAs="oneCell">
    <xdr:from>
      <xdr:col>3</xdr:col>
      <xdr:colOff>1221452</xdr:colOff>
      <xdr:row>11</xdr:row>
      <xdr:rowOff>219074</xdr:rowOff>
    </xdr:from>
    <xdr:to>
      <xdr:col>3</xdr:col>
      <xdr:colOff>2125854</xdr:colOff>
      <xdr:row>11</xdr:row>
      <xdr:rowOff>869657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7130" y="4933315"/>
          <a:ext cx="904240" cy="650875"/>
        </a:xfrm>
        <a:prstGeom prst="rect">
          <a:avLst/>
        </a:prstGeom>
      </xdr:spPr>
    </xdr:pic>
    <xdr:clientData/>
  </xdr:twoCellAnchor>
  <xdr:twoCellAnchor editAs="oneCell">
    <xdr:from>
      <xdr:col>3</xdr:col>
      <xdr:colOff>95100</xdr:colOff>
      <xdr:row>12</xdr:row>
      <xdr:rowOff>371325</xdr:rowOff>
    </xdr:from>
    <xdr:to>
      <xdr:col>3</xdr:col>
      <xdr:colOff>1064441</xdr:colOff>
      <xdr:row>12</xdr:row>
      <xdr:rowOff>1219683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0640" y="6219190"/>
          <a:ext cx="969645" cy="848360"/>
        </a:xfrm>
        <a:prstGeom prst="rect">
          <a:avLst/>
        </a:prstGeom>
      </xdr:spPr>
    </xdr:pic>
    <xdr:clientData/>
  </xdr:twoCellAnchor>
  <xdr:twoCellAnchor editAs="oneCell">
    <xdr:from>
      <xdr:col>3</xdr:col>
      <xdr:colOff>1188076</xdr:colOff>
      <xdr:row>12</xdr:row>
      <xdr:rowOff>378450</xdr:rowOff>
    </xdr:from>
    <xdr:to>
      <xdr:col>3</xdr:col>
      <xdr:colOff>2152649</xdr:colOff>
      <xdr:row>12</xdr:row>
      <xdr:rowOff>1226808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226175"/>
          <a:ext cx="964565" cy="8483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762000</xdr:colOff>
      <xdr:row>4</xdr:row>
      <xdr:rowOff>28575</xdr:rowOff>
    </xdr:from>
    <xdr:to>
      <xdr:col>3</xdr:col>
      <xdr:colOff>1076325</xdr:colOff>
      <xdr:row>4</xdr:row>
      <xdr:rowOff>866775</xdr:rowOff>
    </xdr:to>
    <xdr:pic>
      <xdr:nvPicPr>
        <xdr:cNvPr id="58000" name="Рисунок 2">
          <a:extLst>
            <a:ext uri="{FF2B5EF4-FFF2-40B4-BE49-F238E27FC236}">
              <a16:creationId xmlns:a16="http://schemas.microsoft.com/office/drawing/2014/main" id="{00000000-0008-0000-0500-000090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99020" y="1609725"/>
          <a:ext cx="314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609600</xdr:colOff>
      <xdr:row>5</xdr:row>
      <xdr:rowOff>47625</xdr:rowOff>
    </xdr:from>
    <xdr:to>
      <xdr:col>3</xdr:col>
      <xdr:colOff>723900</xdr:colOff>
      <xdr:row>5</xdr:row>
      <xdr:rowOff>857250</xdr:rowOff>
    </xdr:to>
    <xdr:pic>
      <xdr:nvPicPr>
        <xdr:cNvPr id="58001" name="Рисунок 3">
          <a:extLst>
            <a:ext uri="{FF2B5EF4-FFF2-40B4-BE49-F238E27FC236}">
              <a16:creationId xmlns:a16="http://schemas.microsoft.com/office/drawing/2014/main" id="{00000000-0008-0000-0500-000091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46620" y="2524125"/>
          <a:ext cx="1143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1076325</xdr:colOff>
      <xdr:row>5</xdr:row>
      <xdr:rowOff>47625</xdr:rowOff>
    </xdr:from>
    <xdr:to>
      <xdr:col>3</xdr:col>
      <xdr:colOff>1190625</xdr:colOff>
      <xdr:row>5</xdr:row>
      <xdr:rowOff>857250</xdr:rowOff>
    </xdr:to>
    <xdr:pic>
      <xdr:nvPicPr>
        <xdr:cNvPr id="58002" name="Рисунок 4">
          <a:extLst>
            <a:ext uri="{FF2B5EF4-FFF2-40B4-BE49-F238E27FC236}">
              <a16:creationId xmlns:a16="http://schemas.microsoft.com/office/drawing/2014/main" id="{00000000-0008-0000-0500-000092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13345" y="2524125"/>
          <a:ext cx="1143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552450</xdr:colOff>
      <xdr:row>6</xdr:row>
      <xdr:rowOff>95250</xdr:rowOff>
    </xdr:from>
    <xdr:to>
      <xdr:col>3</xdr:col>
      <xdr:colOff>723900</xdr:colOff>
      <xdr:row>6</xdr:row>
      <xdr:rowOff>828675</xdr:rowOff>
    </xdr:to>
    <xdr:pic>
      <xdr:nvPicPr>
        <xdr:cNvPr id="58003" name="Рисунок 5">
          <a:extLst>
            <a:ext uri="{FF2B5EF4-FFF2-40B4-BE49-F238E27FC236}">
              <a16:creationId xmlns:a16="http://schemas.microsoft.com/office/drawing/2014/main" id="{00000000-0008-0000-0500-000093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89470" y="3467100"/>
          <a:ext cx="1714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1066800</xdr:colOff>
      <xdr:row>6</xdr:row>
      <xdr:rowOff>95250</xdr:rowOff>
    </xdr:from>
    <xdr:to>
      <xdr:col>3</xdr:col>
      <xdr:colOff>1238250</xdr:colOff>
      <xdr:row>6</xdr:row>
      <xdr:rowOff>828675</xdr:rowOff>
    </xdr:to>
    <xdr:pic>
      <xdr:nvPicPr>
        <xdr:cNvPr id="58004" name="Рисунок 6">
          <a:extLst>
            <a:ext uri="{FF2B5EF4-FFF2-40B4-BE49-F238E27FC236}">
              <a16:creationId xmlns:a16="http://schemas.microsoft.com/office/drawing/2014/main" id="{00000000-0008-0000-0500-000094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03820" y="3467100"/>
          <a:ext cx="1714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495300</xdr:colOff>
      <xdr:row>7</xdr:row>
      <xdr:rowOff>114300</xdr:rowOff>
    </xdr:from>
    <xdr:to>
      <xdr:col>3</xdr:col>
      <xdr:colOff>714375</xdr:colOff>
      <xdr:row>7</xdr:row>
      <xdr:rowOff>790575</xdr:rowOff>
    </xdr:to>
    <xdr:pic>
      <xdr:nvPicPr>
        <xdr:cNvPr id="58005" name="Рисунок 7">
          <a:extLst>
            <a:ext uri="{FF2B5EF4-FFF2-40B4-BE49-F238E27FC236}">
              <a16:creationId xmlns:a16="http://schemas.microsoft.com/office/drawing/2014/main" id="{00000000-0008-0000-0500-000095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32320" y="4381500"/>
          <a:ext cx="2190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1066800</xdr:colOff>
      <xdr:row>7</xdr:row>
      <xdr:rowOff>114300</xdr:rowOff>
    </xdr:from>
    <xdr:to>
      <xdr:col>3</xdr:col>
      <xdr:colOff>1295400</xdr:colOff>
      <xdr:row>7</xdr:row>
      <xdr:rowOff>790575</xdr:rowOff>
    </xdr:to>
    <xdr:pic>
      <xdr:nvPicPr>
        <xdr:cNvPr id="58006" name="Рисунок 8">
          <a:extLst>
            <a:ext uri="{FF2B5EF4-FFF2-40B4-BE49-F238E27FC236}">
              <a16:creationId xmlns:a16="http://schemas.microsoft.com/office/drawing/2014/main" id="{00000000-0008-0000-0500-000096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03820" y="4381500"/>
          <a:ext cx="2286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1085850</xdr:colOff>
      <xdr:row>8</xdr:row>
      <xdr:rowOff>95250</xdr:rowOff>
    </xdr:from>
    <xdr:to>
      <xdr:col>3</xdr:col>
      <xdr:colOff>1247775</xdr:colOff>
      <xdr:row>8</xdr:row>
      <xdr:rowOff>828675</xdr:rowOff>
    </xdr:to>
    <xdr:pic>
      <xdr:nvPicPr>
        <xdr:cNvPr id="58007" name="Рисунок 11">
          <a:extLst>
            <a:ext uri="{FF2B5EF4-FFF2-40B4-BE49-F238E27FC236}">
              <a16:creationId xmlns:a16="http://schemas.microsoft.com/office/drawing/2014/main" id="{00000000-0008-0000-0500-000097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22870" y="5257800"/>
          <a:ext cx="1619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514350</xdr:colOff>
      <xdr:row>8</xdr:row>
      <xdr:rowOff>95250</xdr:rowOff>
    </xdr:from>
    <xdr:to>
      <xdr:col>3</xdr:col>
      <xdr:colOff>676275</xdr:colOff>
      <xdr:row>8</xdr:row>
      <xdr:rowOff>828675</xdr:rowOff>
    </xdr:to>
    <xdr:pic>
      <xdr:nvPicPr>
        <xdr:cNvPr id="58008" name="Рисунок 12">
          <a:extLst>
            <a:ext uri="{FF2B5EF4-FFF2-40B4-BE49-F238E27FC236}">
              <a16:creationId xmlns:a16="http://schemas.microsoft.com/office/drawing/2014/main" id="{00000000-0008-0000-0500-000098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51370" y="5257800"/>
          <a:ext cx="1619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495300</xdr:colOff>
      <xdr:row>9</xdr:row>
      <xdr:rowOff>133350</xdr:rowOff>
    </xdr:from>
    <xdr:to>
      <xdr:col>3</xdr:col>
      <xdr:colOff>704850</xdr:colOff>
      <xdr:row>9</xdr:row>
      <xdr:rowOff>809625</xdr:rowOff>
    </xdr:to>
    <xdr:pic>
      <xdr:nvPicPr>
        <xdr:cNvPr id="58009" name="Рисунок 13">
          <a:extLst>
            <a:ext uri="{FF2B5EF4-FFF2-40B4-BE49-F238E27FC236}">
              <a16:creationId xmlns:a16="http://schemas.microsoft.com/office/drawing/2014/main" id="{00000000-0008-0000-0500-000099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32320" y="6191250"/>
          <a:ext cx="2095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1066800</xdr:colOff>
      <xdr:row>9</xdr:row>
      <xdr:rowOff>133350</xdr:rowOff>
    </xdr:from>
    <xdr:to>
      <xdr:col>3</xdr:col>
      <xdr:colOff>1285875</xdr:colOff>
      <xdr:row>9</xdr:row>
      <xdr:rowOff>809625</xdr:rowOff>
    </xdr:to>
    <xdr:pic>
      <xdr:nvPicPr>
        <xdr:cNvPr id="58010" name="Рисунок 14">
          <a:extLst>
            <a:ext uri="{FF2B5EF4-FFF2-40B4-BE49-F238E27FC236}">
              <a16:creationId xmlns:a16="http://schemas.microsoft.com/office/drawing/2014/main" id="{00000000-0008-0000-0500-00009A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7703820" y="6191250"/>
          <a:ext cx="2190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752475</xdr:colOff>
      <xdr:row>3</xdr:row>
      <xdr:rowOff>38100</xdr:rowOff>
    </xdr:from>
    <xdr:to>
      <xdr:col>3</xdr:col>
      <xdr:colOff>1104900</xdr:colOff>
      <xdr:row>3</xdr:row>
      <xdr:rowOff>866775</xdr:rowOff>
    </xdr:to>
    <xdr:pic>
      <xdr:nvPicPr>
        <xdr:cNvPr id="58011" name="Рисунок 1">
          <a:extLst>
            <a:ext uri="{FF2B5EF4-FFF2-40B4-BE49-F238E27FC236}">
              <a16:creationId xmlns:a16="http://schemas.microsoft.com/office/drawing/2014/main" id="{00000000-0008-0000-0500-00009BE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89495" y="723900"/>
          <a:ext cx="352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F43"/>
  <sheetViews>
    <sheetView showGridLines="0" tabSelected="1" topLeftCell="A7" zoomScaleSheetLayoutView="90" zoomScalePageLayoutView="85" workbookViewId="0">
      <selection activeCell="E19" sqref="E19"/>
    </sheetView>
  </sheetViews>
  <sheetFormatPr defaultColWidth="11.5703125" defaultRowHeight="15" x14ac:dyDescent="0.2"/>
  <cols>
    <col min="1" max="1" width="22.140625" style="54" customWidth="1"/>
    <col min="2" max="2" width="52.85546875" style="28" customWidth="1"/>
    <col min="3" max="3" width="24.5703125" style="54" customWidth="1"/>
    <col min="4" max="4" width="26.7109375" style="29" customWidth="1"/>
    <col min="5" max="5" width="17.140625" style="30" customWidth="1"/>
    <col min="6" max="16384" width="11.5703125" style="29"/>
  </cols>
  <sheetData>
    <row r="1" spans="1:6" x14ac:dyDescent="0.2">
      <c r="A1" s="74"/>
      <c r="B1" s="75"/>
      <c r="C1" s="75"/>
      <c r="D1" s="75"/>
      <c r="E1" s="76" t="s">
        <v>0</v>
      </c>
    </row>
    <row r="2" spans="1:6" x14ac:dyDescent="0.2">
      <c r="A2" s="74"/>
      <c r="B2" s="75"/>
      <c r="C2" s="75"/>
      <c r="D2" s="75"/>
      <c r="E2" s="76" t="s">
        <v>1</v>
      </c>
    </row>
    <row r="3" spans="1:6" x14ac:dyDescent="0.2">
      <c r="A3" s="74"/>
      <c r="B3" s="75"/>
      <c r="C3" s="75"/>
      <c r="D3" s="75"/>
      <c r="E3" s="76" t="s">
        <v>2</v>
      </c>
    </row>
    <row r="4" spans="1:6" x14ac:dyDescent="0.2">
      <c r="A4" s="76"/>
      <c r="B4" s="76"/>
      <c r="C4" s="76"/>
      <c r="D4" s="76"/>
      <c r="E4" s="76" t="s">
        <v>3</v>
      </c>
    </row>
    <row r="5" spans="1:6" x14ac:dyDescent="0.2">
      <c r="A5" s="76"/>
      <c r="B5" s="76"/>
      <c r="C5" s="76"/>
      <c r="D5" s="76"/>
      <c r="E5" s="76" t="s">
        <v>4</v>
      </c>
    </row>
    <row r="6" spans="1:6" x14ac:dyDescent="0.2">
      <c r="A6" s="77"/>
      <c r="B6" s="77"/>
      <c r="C6" s="77"/>
      <c r="D6" s="77"/>
      <c r="E6" s="77"/>
    </row>
    <row r="7" spans="1:6" x14ac:dyDescent="0.2">
      <c r="A7" s="75"/>
      <c r="B7" s="75"/>
      <c r="C7" s="78"/>
      <c r="D7" s="76"/>
      <c r="E7" s="79" t="s">
        <v>635</v>
      </c>
    </row>
    <row r="8" spans="1:6" x14ac:dyDescent="0.2">
      <c r="E8" s="80"/>
    </row>
    <row r="9" spans="1:6" ht="18.75" x14ac:dyDescent="0.3">
      <c r="A9" s="190" t="s">
        <v>5</v>
      </c>
      <c r="B9" s="190"/>
      <c r="C9" s="190"/>
      <c r="D9" s="190"/>
      <c r="E9" s="190"/>
      <c r="F9" s="54"/>
    </row>
    <row r="10" spans="1:6" x14ac:dyDescent="0.2">
      <c r="A10" s="191" t="s">
        <v>6</v>
      </c>
      <c r="B10" s="192"/>
      <c r="C10" s="192"/>
      <c r="D10" s="192"/>
      <c r="E10" s="193"/>
    </row>
    <row r="11" spans="1:6" x14ac:dyDescent="0.25">
      <c r="A11" s="81" t="s">
        <v>7</v>
      </c>
      <c r="B11" s="82"/>
      <c r="C11" s="83"/>
      <c r="D11" s="84"/>
      <c r="E11" s="85"/>
    </row>
    <row r="12" spans="1:6" x14ac:dyDescent="0.25">
      <c r="A12" s="86" t="s">
        <v>8</v>
      </c>
      <c r="B12" s="87"/>
      <c r="C12" s="88"/>
      <c r="D12" s="89"/>
      <c r="E12" s="90"/>
    </row>
    <row r="13" spans="1:6" x14ac:dyDescent="0.25">
      <c r="A13" s="86" t="s">
        <v>9</v>
      </c>
      <c r="B13" s="87"/>
      <c r="C13" s="88"/>
      <c r="D13" s="89"/>
      <c r="E13" s="90"/>
    </row>
    <row r="14" spans="1:6" hidden="1" x14ac:dyDescent="0.25">
      <c r="A14" s="86"/>
      <c r="B14" s="87"/>
      <c r="C14" s="88"/>
      <c r="D14" s="89"/>
      <c r="E14" s="90"/>
    </row>
    <row r="15" spans="1:6" x14ac:dyDescent="0.25">
      <c r="A15" s="86" t="s">
        <v>10</v>
      </c>
      <c r="B15" s="87"/>
      <c r="C15" s="88"/>
      <c r="D15" s="89"/>
      <c r="E15" s="90"/>
    </row>
    <row r="16" spans="1:6" x14ac:dyDescent="0.25">
      <c r="A16" s="86" t="s">
        <v>11</v>
      </c>
      <c r="B16" s="87"/>
      <c r="C16" s="88"/>
      <c r="D16" s="89"/>
      <c r="E16" s="90"/>
    </row>
    <row r="17" spans="1:5" x14ac:dyDescent="0.25">
      <c r="A17" s="91" t="s">
        <v>12</v>
      </c>
      <c r="B17" s="92"/>
      <c r="C17" s="93"/>
      <c r="D17" s="94"/>
      <c r="E17" s="95"/>
    </row>
    <row r="18" spans="1:5" x14ac:dyDescent="0.2">
      <c r="A18" s="96" t="s">
        <v>13</v>
      </c>
      <c r="B18" s="97" t="s">
        <v>14</v>
      </c>
      <c r="C18" s="98" t="s">
        <v>15</v>
      </c>
      <c r="D18" s="98" t="s">
        <v>16</v>
      </c>
      <c r="E18" s="99" t="s">
        <v>17</v>
      </c>
    </row>
    <row r="19" spans="1:5" ht="25.5" customHeight="1" x14ac:dyDescent="0.2">
      <c r="A19" s="100" t="s">
        <v>18</v>
      </c>
      <c r="B19" s="36" t="s">
        <v>19</v>
      </c>
      <c r="C19" s="101" t="s">
        <v>20</v>
      </c>
      <c r="D19" s="194"/>
      <c r="E19" s="53">
        <f>Таблица!E4</f>
        <v>7056.8700000000008</v>
      </c>
    </row>
    <row r="20" spans="1:5" ht="25.5" customHeight="1" x14ac:dyDescent="0.2">
      <c r="A20" s="100" t="s">
        <v>21</v>
      </c>
      <c r="B20" s="36" t="s">
        <v>19</v>
      </c>
      <c r="C20" s="101" t="s">
        <v>22</v>
      </c>
      <c r="D20" s="194"/>
      <c r="E20" s="53">
        <f>Таблица!E5</f>
        <v>8187.1200000000008</v>
      </c>
    </row>
    <row r="21" spans="1:5" ht="25.5" customHeight="1" x14ac:dyDescent="0.2">
      <c r="A21" s="100" t="s">
        <v>23</v>
      </c>
      <c r="B21" s="36" t="s">
        <v>19</v>
      </c>
      <c r="C21" s="101" t="s">
        <v>24</v>
      </c>
      <c r="D21" s="194"/>
      <c r="E21" s="53">
        <f>Таблица!E6</f>
        <v>8804.99</v>
      </c>
    </row>
    <row r="22" spans="1:5" ht="25.5" customHeight="1" x14ac:dyDescent="0.2">
      <c r="A22" s="100" t="s">
        <v>25</v>
      </c>
      <c r="B22" s="36" t="s">
        <v>19</v>
      </c>
      <c r="C22" s="101" t="s">
        <v>26</v>
      </c>
      <c r="D22" s="194"/>
      <c r="E22" s="53">
        <f>Таблица!E7</f>
        <v>9644.8000000000011</v>
      </c>
    </row>
    <row r="23" spans="1:5" ht="70.5" customHeight="1" x14ac:dyDescent="0.2">
      <c r="A23" s="100" t="s">
        <v>27</v>
      </c>
      <c r="B23" s="36" t="s">
        <v>28</v>
      </c>
      <c r="C23" s="101" t="s">
        <v>29</v>
      </c>
      <c r="D23" s="38"/>
      <c r="E23" s="53">
        <f>Таблица!E8</f>
        <v>11360.04</v>
      </c>
    </row>
    <row r="24" spans="1:5" ht="70.5" customHeight="1" x14ac:dyDescent="0.2">
      <c r="A24" s="100" t="s">
        <v>30</v>
      </c>
      <c r="B24" s="36" t="s">
        <v>31</v>
      </c>
      <c r="C24" s="101" t="s">
        <v>29</v>
      </c>
      <c r="D24" s="38"/>
      <c r="E24" s="53">
        <f>Таблица!E9</f>
        <v>11360.04</v>
      </c>
    </row>
    <row r="25" spans="1:5" ht="70.5" customHeight="1" x14ac:dyDescent="0.2">
      <c r="A25" s="100" t="s">
        <v>32</v>
      </c>
      <c r="B25" s="36" t="s">
        <v>28</v>
      </c>
      <c r="C25" s="101" t="s">
        <v>33</v>
      </c>
      <c r="D25" s="38"/>
      <c r="E25" s="53">
        <f>Таблица!E10</f>
        <v>10484.61</v>
      </c>
    </row>
    <row r="26" spans="1:5" ht="70.5" customHeight="1" x14ac:dyDescent="0.2">
      <c r="A26" s="100" t="s">
        <v>34</v>
      </c>
      <c r="B26" s="36" t="s">
        <v>31</v>
      </c>
      <c r="C26" s="101" t="s">
        <v>33</v>
      </c>
      <c r="D26" s="41"/>
      <c r="E26" s="53">
        <f>Таблица!E11</f>
        <v>10484.61</v>
      </c>
    </row>
    <row r="27" spans="1:5" ht="70.5" customHeight="1" x14ac:dyDescent="0.2">
      <c r="A27" s="100" t="s">
        <v>35</v>
      </c>
      <c r="B27" s="36" t="s">
        <v>28</v>
      </c>
      <c r="C27" s="101" t="s">
        <v>36</v>
      </c>
      <c r="D27" s="41"/>
      <c r="E27" s="53">
        <f>Таблица!E12</f>
        <v>13935.640000000001</v>
      </c>
    </row>
    <row r="28" spans="1:5" ht="70.5" customHeight="1" x14ac:dyDescent="0.2">
      <c r="A28" s="100" t="s">
        <v>37</v>
      </c>
      <c r="B28" s="36" t="s">
        <v>31</v>
      </c>
      <c r="C28" s="101" t="s">
        <v>36</v>
      </c>
      <c r="D28" s="41"/>
      <c r="E28" s="53">
        <f>Таблица!E13</f>
        <v>13935.640000000001</v>
      </c>
    </row>
    <row r="29" spans="1:5" ht="70.5" customHeight="1" x14ac:dyDescent="0.2">
      <c r="A29" s="100" t="s">
        <v>38</v>
      </c>
      <c r="B29" s="36" t="s">
        <v>28</v>
      </c>
      <c r="C29" s="101" t="s">
        <v>39</v>
      </c>
      <c r="D29" s="41"/>
      <c r="E29" s="53">
        <f>Таблица!E14</f>
        <v>14700.1</v>
      </c>
    </row>
    <row r="30" spans="1:5" ht="70.5" customHeight="1" x14ac:dyDescent="0.2">
      <c r="A30" s="102" t="s">
        <v>40</v>
      </c>
      <c r="B30" s="103" t="s">
        <v>31</v>
      </c>
      <c r="C30" s="104" t="s">
        <v>39</v>
      </c>
      <c r="D30" s="56"/>
      <c r="E30" s="105">
        <f>Таблица!E15</f>
        <v>14700.1</v>
      </c>
    </row>
    <row r="31" spans="1:5" ht="70.5" customHeight="1" x14ac:dyDescent="0.2">
      <c r="A31" s="106" t="s">
        <v>41</v>
      </c>
      <c r="B31" s="107" t="s">
        <v>42</v>
      </c>
      <c r="C31" s="108" t="s">
        <v>43</v>
      </c>
      <c r="D31" s="109"/>
      <c r="E31" s="110">
        <f>Таблица!E16</f>
        <v>11264.140000000001</v>
      </c>
    </row>
    <row r="32" spans="1:5" s="61" customFormat="1" ht="70.5" customHeight="1" x14ac:dyDescent="0.2">
      <c r="A32" s="111" t="s">
        <v>584</v>
      </c>
      <c r="B32" s="112" t="s">
        <v>585</v>
      </c>
      <c r="C32" s="113" t="s">
        <v>586</v>
      </c>
      <c r="D32" s="68"/>
      <c r="E32" s="67">
        <f>Таблица!E147</f>
        <v>11210.710000000001</v>
      </c>
    </row>
    <row r="33" spans="1:5" ht="70.5" customHeight="1" x14ac:dyDescent="0.2">
      <c r="A33" s="114" t="s">
        <v>587</v>
      </c>
      <c r="B33" s="115" t="s">
        <v>588</v>
      </c>
      <c r="C33" s="116" t="s">
        <v>586</v>
      </c>
      <c r="D33" s="41"/>
      <c r="E33" s="53">
        <f>Таблица!E148</f>
        <v>11949.140000000001</v>
      </c>
    </row>
    <row r="34" spans="1:5" s="61" customFormat="1" ht="70.5" customHeight="1" x14ac:dyDescent="0.2">
      <c r="A34" s="111" t="s">
        <v>589</v>
      </c>
      <c r="B34" s="112" t="s">
        <v>44</v>
      </c>
      <c r="C34" s="113" t="s">
        <v>590</v>
      </c>
      <c r="D34" s="68"/>
      <c r="E34" s="67">
        <f>Таблица!E149</f>
        <v>17894.940000000002</v>
      </c>
    </row>
    <row r="35" spans="1:5" ht="70.5" customHeight="1" x14ac:dyDescent="0.2">
      <c r="A35" s="114" t="s">
        <v>591</v>
      </c>
      <c r="B35" s="115" t="s">
        <v>45</v>
      </c>
      <c r="C35" s="116" t="s">
        <v>590</v>
      </c>
      <c r="D35" s="41"/>
      <c r="E35" s="53">
        <f>Таблица!E150</f>
        <v>19153.97</v>
      </c>
    </row>
    <row r="36" spans="1:5" s="61" customFormat="1" ht="70.5" customHeight="1" x14ac:dyDescent="0.2">
      <c r="A36" s="111" t="s">
        <v>592</v>
      </c>
      <c r="B36" s="112" t="s">
        <v>46</v>
      </c>
      <c r="C36" s="113" t="s">
        <v>43</v>
      </c>
      <c r="D36" s="68"/>
      <c r="E36" s="67">
        <f>Таблица!E151</f>
        <v>35543.280000000006</v>
      </c>
    </row>
    <row r="37" spans="1:5" ht="70.5" customHeight="1" x14ac:dyDescent="0.2">
      <c r="A37" s="117" t="s">
        <v>593</v>
      </c>
      <c r="B37" s="118" t="s">
        <v>47</v>
      </c>
      <c r="C37" s="119" t="s">
        <v>43</v>
      </c>
      <c r="D37" s="59"/>
      <c r="E37" s="60">
        <f>Таблица!E152</f>
        <v>38022.980000000003</v>
      </c>
    </row>
    <row r="38" spans="1:5" ht="70.5" customHeight="1" x14ac:dyDescent="0.2">
      <c r="A38" s="120" t="s">
        <v>48</v>
      </c>
      <c r="B38" s="121" t="s">
        <v>49</v>
      </c>
      <c r="C38" s="122" t="s">
        <v>50</v>
      </c>
      <c r="D38" s="123"/>
      <c r="E38" s="124">
        <f>Таблица!E17</f>
        <v>8744.7100000000009</v>
      </c>
    </row>
    <row r="39" spans="1:5" ht="70.5" customHeight="1" x14ac:dyDescent="0.2">
      <c r="A39" s="66" t="s">
        <v>51</v>
      </c>
      <c r="B39" s="36" t="s">
        <v>52</v>
      </c>
      <c r="C39" s="37" t="s">
        <v>53</v>
      </c>
      <c r="D39" s="41"/>
      <c r="E39" s="53">
        <f>Таблица!E18</f>
        <v>10277.740000000002</v>
      </c>
    </row>
    <row r="40" spans="1:5" ht="25.5" customHeight="1" x14ac:dyDescent="0.2">
      <c r="A40" s="66" t="s">
        <v>54</v>
      </c>
      <c r="B40" s="36" t="s">
        <v>55</v>
      </c>
      <c r="C40" s="37" t="s">
        <v>56</v>
      </c>
      <c r="D40" s="195"/>
      <c r="E40" s="53">
        <f>Таблица!E19</f>
        <v>12328.630000000001</v>
      </c>
    </row>
    <row r="41" spans="1:5" ht="25.5" customHeight="1" x14ac:dyDescent="0.2">
      <c r="A41" s="66" t="s">
        <v>57</v>
      </c>
      <c r="B41" s="36" t="s">
        <v>55</v>
      </c>
      <c r="C41" s="37" t="s">
        <v>58</v>
      </c>
      <c r="D41" s="195"/>
      <c r="E41" s="53">
        <f>Таблица!E20</f>
        <v>13531.490000000002</v>
      </c>
    </row>
    <row r="42" spans="1:5" ht="25.5" customHeight="1" x14ac:dyDescent="0.2">
      <c r="A42" s="52" t="s">
        <v>59</v>
      </c>
      <c r="B42" s="36" t="s">
        <v>55</v>
      </c>
      <c r="C42" s="23" t="s">
        <v>60</v>
      </c>
      <c r="D42" s="195"/>
      <c r="E42" s="53">
        <f>Таблица!E21</f>
        <v>13602.730000000001</v>
      </c>
    </row>
    <row r="43" spans="1:5" ht="70.5" customHeight="1" x14ac:dyDescent="0.2">
      <c r="A43" s="72" t="s">
        <v>61</v>
      </c>
      <c r="B43" s="70" t="s">
        <v>62</v>
      </c>
      <c r="C43" s="71" t="s">
        <v>63</v>
      </c>
      <c r="D43" s="59"/>
      <c r="E43" s="60">
        <f>Таблица!E22</f>
        <v>10246.230000000001</v>
      </c>
    </row>
  </sheetData>
  <sheetProtection selectLockedCells="1" selectUnlockedCells="1"/>
  <mergeCells count="4">
    <mergeCell ref="A9:E9"/>
    <mergeCell ref="A10:E10"/>
    <mergeCell ref="D19:D22"/>
    <mergeCell ref="D40:D42"/>
  </mergeCells>
  <pageMargins left="0.70866141732283505" right="0.70866141732283505" top="0" bottom="0" header="0.31496062992126" footer="0.31496062992126"/>
  <pageSetup paperSize="9" scale="53" orientation="portrait" useFirstPageNumber="1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46"/>
  <sheetViews>
    <sheetView showGridLines="0" zoomScale="80" zoomScaleNormal="80" zoomScaleSheetLayoutView="80" zoomScalePageLayoutView="85" workbookViewId="0">
      <selection activeCell="A32" sqref="A32:XFD32"/>
    </sheetView>
  </sheetViews>
  <sheetFormatPr defaultColWidth="11.5703125" defaultRowHeight="15" x14ac:dyDescent="0.2"/>
  <cols>
    <col min="1" max="1" width="22.140625" style="27" customWidth="1"/>
    <col min="2" max="2" width="52.85546875" style="28" customWidth="1"/>
    <col min="3" max="3" width="24.5703125" style="27" customWidth="1"/>
    <col min="4" max="4" width="26.7109375" style="29" customWidth="1"/>
    <col min="5" max="5" width="17.140625" style="30" customWidth="1"/>
    <col min="6" max="16384" width="11.5703125" style="29"/>
  </cols>
  <sheetData>
    <row r="1" spans="1:5" ht="18.75" x14ac:dyDescent="0.2">
      <c r="A1" s="196" t="s">
        <v>5</v>
      </c>
      <c r="B1" s="196"/>
      <c r="C1" s="196"/>
      <c r="D1" s="196"/>
      <c r="E1" s="196"/>
    </row>
    <row r="2" spans="1:5" ht="18.75" x14ac:dyDescent="0.2">
      <c r="A2" s="31"/>
      <c r="B2" s="32"/>
      <c r="C2" s="32"/>
      <c r="D2" s="197" t="str">
        <f>'Столы, Тумбы'!E7</f>
        <v>Измененен: 01.01.2026</v>
      </c>
      <c r="E2" s="198"/>
    </row>
    <row r="3" spans="1:5" x14ac:dyDescent="0.2">
      <c r="A3" s="62" t="s">
        <v>13</v>
      </c>
      <c r="B3" s="63" t="s">
        <v>14</v>
      </c>
      <c r="C3" s="64" t="s">
        <v>64</v>
      </c>
      <c r="D3" s="64" t="s">
        <v>16</v>
      </c>
      <c r="E3" s="65" t="s">
        <v>65</v>
      </c>
    </row>
    <row r="4" spans="1:5" ht="70.5" customHeight="1" x14ac:dyDescent="0.2">
      <c r="A4" s="66" t="s">
        <v>66</v>
      </c>
      <c r="B4" s="36" t="s">
        <v>67</v>
      </c>
      <c r="C4" s="37" t="s">
        <v>68</v>
      </c>
      <c r="D4" s="38"/>
      <c r="E4" s="53">
        <f>Таблица!E23</f>
        <v>11232.630000000001</v>
      </c>
    </row>
    <row r="5" spans="1:5" ht="70.5" customHeight="1" x14ac:dyDescent="0.2">
      <c r="A5" s="66" t="s">
        <v>69</v>
      </c>
      <c r="B5" s="36" t="s">
        <v>70</v>
      </c>
      <c r="C5" s="37" t="s">
        <v>71</v>
      </c>
      <c r="D5" s="38"/>
      <c r="E5" s="53">
        <f>Таблица!E24</f>
        <v>8222.74</v>
      </c>
    </row>
    <row r="6" spans="1:5" ht="70.5" customHeight="1" x14ac:dyDescent="0.2">
      <c r="A6" s="66" t="s">
        <v>72</v>
      </c>
      <c r="B6" s="36" t="s">
        <v>73</v>
      </c>
      <c r="C6" s="37" t="s">
        <v>74</v>
      </c>
      <c r="D6" s="38"/>
      <c r="E6" s="53">
        <f>Таблица!E25</f>
        <v>6206.1</v>
      </c>
    </row>
    <row r="7" spans="1:5" ht="70.5" customHeight="1" x14ac:dyDescent="0.2">
      <c r="A7" s="66" t="s">
        <v>75</v>
      </c>
      <c r="B7" s="36" t="s">
        <v>76</v>
      </c>
      <c r="C7" s="37" t="s">
        <v>77</v>
      </c>
      <c r="D7" s="38"/>
      <c r="E7" s="53">
        <f>Таблица!E26</f>
        <v>9147.4900000000016</v>
      </c>
    </row>
    <row r="8" spans="1:5" ht="70.5" customHeight="1" x14ac:dyDescent="0.2">
      <c r="A8" s="66" t="s">
        <v>78</v>
      </c>
      <c r="B8" s="36" t="s">
        <v>79</v>
      </c>
      <c r="C8" s="37" t="s">
        <v>80</v>
      </c>
      <c r="D8" s="38"/>
      <c r="E8" s="53">
        <f>Таблица!E27</f>
        <v>6081.43</v>
      </c>
    </row>
    <row r="9" spans="1:5" ht="70.5" customHeight="1" x14ac:dyDescent="0.2">
      <c r="A9" s="66" t="s">
        <v>81</v>
      </c>
      <c r="B9" s="36" t="s">
        <v>82</v>
      </c>
      <c r="C9" s="37" t="s">
        <v>83</v>
      </c>
      <c r="D9" s="38"/>
      <c r="E9" s="53">
        <f>Таблица!E28</f>
        <v>4427.84</v>
      </c>
    </row>
    <row r="10" spans="1:5" ht="70.5" customHeight="1" x14ac:dyDescent="0.2">
      <c r="A10" s="66" t="s">
        <v>84</v>
      </c>
      <c r="B10" s="36" t="s">
        <v>85</v>
      </c>
      <c r="C10" s="37" t="s">
        <v>86</v>
      </c>
      <c r="D10" s="41"/>
      <c r="E10" s="53">
        <f>Таблица!E29</f>
        <v>12291.640000000001</v>
      </c>
    </row>
    <row r="11" spans="1:5" ht="70.5" customHeight="1" x14ac:dyDescent="0.2">
      <c r="A11" s="66" t="s">
        <v>87</v>
      </c>
      <c r="B11" s="36" t="s">
        <v>88</v>
      </c>
      <c r="C11" s="37" t="s">
        <v>89</v>
      </c>
      <c r="D11" s="41"/>
      <c r="E11" s="53">
        <f>Таблица!E30</f>
        <v>18642.960000000003</v>
      </c>
    </row>
    <row r="12" spans="1:5" ht="70.5" customHeight="1" x14ac:dyDescent="0.2">
      <c r="A12" s="66" t="s">
        <v>90</v>
      </c>
      <c r="B12" s="36" t="s">
        <v>91</v>
      </c>
      <c r="C12" s="37" t="s">
        <v>68</v>
      </c>
      <c r="D12" s="41"/>
      <c r="E12" s="53">
        <f>Таблица!E31</f>
        <v>21559.690000000002</v>
      </c>
    </row>
    <row r="13" spans="1:5" ht="70.5" customHeight="1" x14ac:dyDescent="0.2">
      <c r="A13" s="66" t="s">
        <v>92</v>
      </c>
      <c r="B13" s="36" t="s">
        <v>93</v>
      </c>
      <c r="C13" s="37" t="s">
        <v>68</v>
      </c>
      <c r="D13" s="41"/>
      <c r="E13" s="53">
        <f>Таблица!E32</f>
        <v>14676.810000000001</v>
      </c>
    </row>
    <row r="14" spans="1:5" ht="70.5" customHeight="1" x14ac:dyDescent="0.2">
      <c r="A14" s="66" t="s">
        <v>94</v>
      </c>
      <c r="B14" s="36" t="s">
        <v>95</v>
      </c>
      <c r="C14" s="37" t="s">
        <v>68</v>
      </c>
      <c r="D14" s="41"/>
      <c r="E14" s="53">
        <f>Таблица!E33</f>
        <v>21211.710000000003</v>
      </c>
    </row>
    <row r="15" spans="1:5" ht="70.5" customHeight="1" x14ac:dyDescent="0.2">
      <c r="A15" s="66" t="s">
        <v>96</v>
      </c>
      <c r="B15" s="36" t="s">
        <v>97</v>
      </c>
      <c r="C15" s="37" t="s">
        <v>68</v>
      </c>
      <c r="D15" s="41"/>
      <c r="E15" s="53">
        <f>Таблица!E34</f>
        <v>18838.870000000003</v>
      </c>
    </row>
    <row r="16" spans="1:5" ht="70.5" customHeight="1" x14ac:dyDescent="0.2">
      <c r="A16" s="66" t="s">
        <v>98</v>
      </c>
      <c r="B16" s="36" t="s">
        <v>99</v>
      </c>
      <c r="C16" s="37" t="s">
        <v>68</v>
      </c>
      <c r="D16" s="41"/>
      <c r="E16" s="53">
        <f>Таблица!E35</f>
        <v>20307.510000000002</v>
      </c>
    </row>
    <row r="17" spans="1:5" ht="70.5" customHeight="1" x14ac:dyDescent="0.2">
      <c r="A17" s="66" t="s">
        <v>100</v>
      </c>
      <c r="B17" s="36" t="s">
        <v>101</v>
      </c>
      <c r="C17" s="37" t="s">
        <v>68</v>
      </c>
      <c r="D17" s="41"/>
      <c r="E17" s="53">
        <f>Таблица!E36</f>
        <v>18120.990000000002</v>
      </c>
    </row>
    <row r="18" spans="1:5" ht="70.5" customHeight="1" x14ac:dyDescent="0.2">
      <c r="A18" s="66" t="s">
        <v>102</v>
      </c>
      <c r="B18" s="36" t="s">
        <v>103</v>
      </c>
      <c r="C18" s="37" t="s">
        <v>68</v>
      </c>
      <c r="D18" s="41"/>
      <c r="E18" s="53">
        <f>Таблица!E37</f>
        <v>15394.69</v>
      </c>
    </row>
    <row r="19" spans="1:5" ht="70.5" customHeight="1" x14ac:dyDescent="0.2">
      <c r="A19" s="66" t="s">
        <v>104</v>
      </c>
      <c r="B19" s="36" t="s">
        <v>105</v>
      </c>
      <c r="C19" s="37" t="s">
        <v>68</v>
      </c>
      <c r="D19" s="41"/>
      <c r="E19" s="53">
        <f>Таблица!E38</f>
        <v>21025.390000000003</v>
      </c>
    </row>
    <row r="20" spans="1:5" ht="70.5" customHeight="1" x14ac:dyDescent="0.2">
      <c r="A20" s="66" t="s">
        <v>106</v>
      </c>
      <c r="B20" s="36" t="s">
        <v>107</v>
      </c>
      <c r="C20" s="37" t="s">
        <v>68</v>
      </c>
      <c r="D20" s="41"/>
      <c r="E20" s="53">
        <f>Таблица!E39</f>
        <v>18838.870000000003</v>
      </c>
    </row>
    <row r="21" spans="1:5" ht="70.5" customHeight="1" x14ac:dyDescent="0.2">
      <c r="A21" s="66" t="s">
        <v>108</v>
      </c>
      <c r="B21" s="36" t="s">
        <v>109</v>
      </c>
      <c r="C21" s="37" t="s">
        <v>68</v>
      </c>
      <c r="D21" s="41"/>
      <c r="E21" s="53">
        <f>Таблица!E40</f>
        <v>17364.75</v>
      </c>
    </row>
    <row r="22" spans="1:5" ht="70.5" customHeight="1" x14ac:dyDescent="0.2">
      <c r="A22" s="66" t="s">
        <v>110</v>
      </c>
      <c r="B22" s="36" t="s">
        <v>111</v>
      </c>
      <c r="C22" s="37" t="s">
        <v>112</v>
      </c>
      <c r="D22" s="41"/>
      <c r="E22" s="53">
        <f>Таблица!E41</f>
        <v>43989.33</v>
      </c>
    </row>
    <row r="23" spans="1:5" ht="70.5" customHeight="1" x14ac:dyDescent="0.2">
      <c r="A23" s="66" t="s">
        <v>113</v>
      </c>
      <c r="B23" s="36" t="s">
        <v>114</v>
      </c>
      <c r="C23" s="37" t="s">
        <v>115</v>
      </c>
      <c r="D23" s="40"/>
      <c r="E23" s="53">
        <f>Таблица!E42</f>
        <v>32395.020000000004</v>
      </c>
    </row>
    <row r="24" spans="1:5" ht="70.5" customHeight="1" x14ac:dyDescent="0.2">
      <c r="A24" s="66" t="s">
        <v>116</v>
      </c>
      <c r="B24" s="36" t="s">
        <v>117</v>
      </c>
      <c r="C24" s="37" t="s">
        <v>118</v>
      </c>
      <c r="D24" s="40"/>
      <c r="E24" s="53">
        <f>Таблица!E43</f>
        <v>26005.340000000004</v>
      </c>
    </row>
    <row r="25" spans="1:5" ht="70.5" customHeight="1" x14ac:dyDescent="0.2">
      <c r="A25" s="66" t="s">
        <v>119</v>
      </c>
      <c r="B25" s="36" t="s">
        <v>117</v>
      </c>
      <c r="C25" s="37" t="s">
        <v>120</v>
      </c>
      <c r="D25" s="40"/>
      <c r="E25" s="53">
        <f>Таблица!E44</f>
        <v>28833.02</v>
      </c>
    </row>
    <row r="26" spans="1:5" ht="70.5" customHeight="1" x14ac:dyDescent="0.2">
      <c r="A26" s="66" t="s">
        <v>121</v>
      </c>
      <c r="B26" s="36" t="s">
        <v>122</v>
      </c>
      <c r="C26" s="37" t="s">
        <v>77</v>
      </c>
      <c r="D26" s="40"/>
      <c r="E26" s="53">
        <f>Таблица!E45</f>
        <v>10869.580000000002</v>
      </c>
    </row>
    <row r="27" spans="1:5" ht="70.5" customHeight="1" x14ac:dyDescent="0.2">
      <c r="A27" s="66" t="s">
        <v>123</v>
      </c>
      <c r="B27" s="36" t="s">
        <v>124</v>
      </c>
      <c r="C27" s="37" t="s">
        <v>77</v>
      </c>
      <c r="D27" s="41"/>
      <c r="E27" s="53">
        <f>Таблица!E47</f>
        <v>14137.03</v>
      </c>
    </row>
    <row r="28" spans="1:5" ht="70.5" customHeight="1" x14ac:dyDescent="0.2">
      <c r="A28" s="66" t="s">
        <v>125</v>
      </c>
      <c r="B28" s="36" t="s">
        <v>126</v>
      </c>
      <c r="C28" s="37" t="s">
        <v>77</v>
      </c>
      <c r="D28" s="41"/>
      <c r="E28" s="53">
        <f>Таблица!E49</f>
        <v>12950.61</v>
      </c>
    </row>
    <row r="29" spans="1:5" ht="70.5" customHeight="1" x14ac:dyDescent="0.2">
      <c r="A29" s="66" t="s">
        <v>127</v>
      </c>
      <c r="B29" s="36" t="s">
        <v>128</v>
      </c>
      <c r="C29" s="37" t="s">
        <v>77</v>
      </c>
      <c r="D29" s="23"/>
      <c r="E29" s="53">
        <f>Таблица!E51</f>
        <v>13684.93</v>
      </c>
    </row>
    <row r="30" spans="1:5" ht="70.5" customHeight="1" x14ac:dyDescent="0.2">
      <c r="A30" s="66" t="s">
        <v>129</v>
      </c>
      <c r="B30" s="36" t="s">
        <v>130</v>
      </c>
      <c r="C30" s="37" t="s">
        <v>77</v>
      </c>
      <c r="D30" s="23"/>
      <c r="E30" s="53">
        <f>Таблица!E53</f>
        <v>12591.67</v>
      </c>
    </row>
    <row r="31" spans="1:5" ht="70.5" customHeight="1" x14ac:dyDescent="0.2">
      <c r="A31" s="66" t="s">
        <v>131</v>
      </c>
      <c r="B31" s="36" t="s">
        <v>132</v>
      </c>
      <c r="C31" s="37" t="s">
        <v>77</v>
      </c>
      <c r="D31" s="23"/>
      <c r="E31" s="53">
        <f>Таблица!E55</f>
        <v>11228.52</v>
      </c>
    </row>
    <row r="32" spans="1:5" ht="70.5" customHeight="1" x14ac:dyDescent="0.2">
      <c r="A32" s="66" t="s">
        <v>133</v>
      </c>
      <c r="B32" s="36" t="s">
        <v>134</v>
      </c>
      <c r="C32" s="37" t="s">
        <v>77</v>
      </c>
      <c r="D32" s="38"/>
      <c r="E32" s="53">
        <f>Таблица!E57</f>
        <v>14043.87</v>
      </c>
    </row>
    <row r="33" spans="1:5" ht="70.5" customHeight="1" x14ac:dyDescent="0.2">
      <c r="A33" s="66" t="s">
        <v>135</v>
      </c>
      <c r="B33" s="36" t="s">
        <v>136</v>
      </c>
      <c r="C33" s="37" t="s">
        <v>77</v>
      </c>
      <c r="D33" s="38"/>
      <c r="E33" s="53">
        <f>Таблица!E59</f>
        <v>12950.61</v>
      </c>
    </row>
    <row r="34" spans="1:5" ht="70.5" customHeight="1" x14ac:dyDescent="0.2">
      <c r="A34" s="66" t="s">
        <v>137</v>
      </c>
      <c r="B34" s="36" t="s">
        <v>138</v>
      </c>
      <c r="C34" s="37" t="s">
        <v>77</v>
      </c>
      <c r="D34" s="38"/>
      <c r="E34" s="53">
        <f>Таблица!E61</f>
        <v>12213.550000000001</v>
      </c>
    </row>
    <row r="35" spans="1:5" ht="70.5" customHeight="1" x14ac:dyDescent="0.2">
      <c r="A35" s="66" t="s">
        <v>139</v>
      </c>
      <c r="B35" s="36" t="s">
        <v>140</v>
      </c>
      <c r="C35" s="37" t="s">
        <v>71</v>
      </c>
      <c r="D35" s="38"/>
      <c r="E35" s="53">
        <f>Таблица!E63</f>
        <v>11666.92</v>
      </c>
    </row>
    <row r="36" spans="1:5" ht="70.5" customHeight="1" x14ac:dyDescent="0.2">
      <c r="A36" s="66" t="s">
        <v>141</v>
      </c>
      <c r="B36" s="36" t="s">
        <v>142</v>
      </c>
      <c r="C36" s="37" t="s">
        <v>71</v>
      </c>
      <c r="D36" s="38"/>
      <c r="E36" s="53">
        <f>Таблица!E64</f>
        <v>13853.44</v>
      </c>
    </row>
    <row r="37" spans="1:5" ht="70.5" customHeight="1" x14ac:dyDescent="0.2">
      <c r="A37" s="52" t="s">
        <v>143</v>
      </c>
      <c r="B37" s="36" t="s">
        <v>144</v>
      </c>
      <c r="C37" s="23" t="s">
        <v>71</v>
      </c>
      <c r="D37" s="38"/>
      <c r="E37" s="53">
        <f>Таблица!E65</f>
        <v>12384.800000000001</v>
      </c>
    </row>
    <row r="38" spans="1:5" ht="70.5" customHeight="1" x14ac:dyDescent="0.2">
      <c r="A38" s="52" t="s">
        <v>145</v>
      </c>
      <c r="B38" s="36" t="s">
        <v>146</v>
      </c>
      <c r="C38" s="23" t="s">
        <v>71</v>
      </c>
      <c r="D38" s="38"/>
      <c r="E38" s="53">
        <f>Таблица!E66</f>
        <v>14757.640000000001</v>
      </c>
    </row>
    <row r="39" spans="1:5" ht="70.5" customHeight="1" x14ac:dyDescent="0.2">
      <c r="A39" s="66" t="s">
        <v>147</v>
      </c>
      <c r="B39" s="36" t="s">
        <v>148</v>
      </c>
      <c r="C39" s="37" t="s">
        <v>80</v>
      </c>
      <c r="D39" s="38"/>
      <c r="E39" s="53">
        <f>Таблица!E67</f>
        <v>7803.52</v>
      </c>
    </row>
    <row r="40" spans="1:5" ht="70.5" customHeight="1" x14ac:dyDescent="0.2">
      <c r="A40" s="66" t="s">
        <v>149</v>
      </c>
      <c r="B40" s="36" t="s">
        <v>150</v>
      </c>
      <c r="C40" s="37" t="s">
        <v>80</v>
      </c>
      <c r="D40" s="38"/>
      <c r="E40" s="53">
        <f>Таблица!E69</f>
        <v>8896.7800000000007</v>
      </c>
    </row>
    <row r="41" spans="1:5" ht="70.5" customHeight="1" x14ac:dyDescent="0.2">
      <c r="A41" s="66" t="s">
        <v>151</v>
      </c>
      <c r="B41" s="36" t="s">
        <v>152</v>
      </c>
      <c r="C41" s="37" t="s">
        <v>80</v>
      </c>
      <c r="D41" s="38"/>
      <c r="E41" s="53">
        <f>Таблица!E71</f>
        <v>8162.4600000000009</v>
      </c>
    </row>
    <row r="42" spans="1:5" ht="70.5" customHeight="1" x14ac:dyDescent="0.2">
      <c r="A42" s="66" t="s">
        <v>153</v>
      </c>
      <c r="B42" s="36" t="s">
        <v>154</v>
      </c>
      <c r="C42" s="37" t="s">
        <v>80</v>
      </c>
      <c r="D42" s="38"/>
      <c r="E42" s="53">
        <f>Таблица!E73</f>
        <v>9348.880000000001</v>
      </c>
    </row>
    <row r="43" spans="1:5" ht="70.5" customHeight="1" x14ac:dyDescent="0.2">
      <c r="A43" s="66" t="s">
        <v>155</v>
      </c>
      <c r="B43" s="36" t="s">
        <v>156</v>
      </c>
      <c r="C43" s="37" t="s">
        <v>74</v>
      </c>
      <c r="D43" s="38"/>
      <c r="E43" s="53">
        <f>Таблица!E75</f>
        <v>9650.2800000000007</v>
      </c>
    </row>
    <row r="44" spans="1:5" ht="70.5" customHeight="1" x14ac:dyDescent="0.2">
      <c r="A44" s="66" t="s">
        <v>157</v>
      </c>
      <c r="B44" s="36" t="s">
        <v>158</v>
      </c>
      <c r="C44" s="37" t="s">
        <v>74</v>
      </c>
      <c r="D44" s="38"/>
      <c r="E44" s="53">
        <f>Таблица!E76</f>
        <v>11836.800000000001</v>
      </c>
    </row>
    <row r="45" spans="1:5" ht="70.5" customHeight="1" x14ac:dyDescent="0.2">
      <c r="A45" s="66" t="s">
        <v>159</v>
      </c>
      <c r="B45" s="36" t="s">
        <v>160</v>
      </c>
      <c r="C45" s="37" t="s">
        <v>83</v>
      </c>
      <c r="D45" s="38"/>
      <c r="E45" s="53">
        <f>Таблица!E77</f>
        <v>6149.93</v>
      </c>
    </row>
    <row r="46" spans="1:5" ht="70.5" customHeight="1" x14ac:dyDescent="0.2">
      <c r="A46" s="72" t="s">
        <v>161</v>
      </c>
      <c r="B46" s="70" t="s">
        <v>162</v>
      </c>
      <c r="C46" s="71" t="s">
        <v>83</v>
      </c>
      <c r="D46" s="73"/>
      <c r="E46" s="60">
        <f>Таблица!E79</f>
        <v>7243.1900000000005</v>
      </c>
    </row>
  </sheetData>
  <sheetProtection selectLockedCells="1" selectUnlockedCells="1"/>
  <mergeCells count="2">
    <mergeCell ref="A1:E1"/>
    <mergeCell ref="D2:E2"/>
  </mergeCells>
  <pageMargins left="0.39370078740157499" right="0.39370078740157499" top="0.39370078740157499" bottom="0.39370078740157499" header="0.78740157480314998" footer="0.78740157480314998"/>
  <pageSetup paperSize="9" scale="66" fitToHeight="2" orientation="portrait" useFirstPageNumber="1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26"/>
  <sheetViews>
    <sheetView showGridLines="0" zoomScale="70" zoomScaleNormal="70" zoomScaleSheetLayoutView="70" zoomScalePageLayoutView="85" workbookViewId="0">
      <selection activeCell="A27" sqref="A25:E27"/>
    </sheetView>
  </sheetViews>
  <sheetFormatPr defaultColWidth="11.5703125" defaultRowHeight="15" x14ac:dyDescent="0.2"/>
  <cols>
    <col min="1" max="1" width="22.140625" style="27" customWidth="1"/>
    <col min="2" max="2" width="52.85546875" style="28" customWidth="1"/>
    <col min="3" max="3" width="24.5703125" style="27" customWidth="1"/>
    <col min="4" max="4" width="26.7109375" style="29" customWidth="1"/>
    <col min="5" max="5" width="17.140625" style="30" customWidth="1"/>
    <col min="6" max="6" width="31.5703125" style="29" customWidth="1"/>
    <col min="7" max="16384" width="11.5703125" style="29"/>
  </cols>
  <sheetData>
    <row r="1" spans="1:5" ht="18.75" x14ac:dyDescent="0.2">
      <c r="A1" s="196" t="s">
        <v>5</v>
      </c>
      <c r="B1" s="196"/>
      <c r="C1" s="196"/>
      <c r="D1" s="196"/>
      <c r="E1" s="196"/>
    </row>
    <row r="2" spans="1:5" ht="18.75" x14ac:dyDescent="0.2">
      <c r="A2" s="31"/>
      <c r="B2" s="32"/>
      <c r="C2" s="32"/>
      <c r="D2" s="197" t="str">
        <f>'Столы, Тумбы'!E7</f>
        <v>Измененен: 01.01.2026</v>
      </c>
      <c r="E2" s="198"/>
    </row>
    <row r="3" spans="1:5" x14ac:dyDescent="0.2">
      <c r="A3" s="62" t="s">
        <v>13</v>
      </c>
      <c r="B3" s="63" t="s">
        <v>14</v>
      </c>
      <c r="C3" s="64" t="s">
        <v>15</v>
      </c>
      <c r="D3" s="64" t="s">
        <v>16</v>
      </c>
      <c r="E3" s="65" t="s">
        <v>17</v>
      </c>
    </row>
    <row r="4" spans="1:5" ht="70.5" customHeight="1" x14ac:dyDescent="0.2">
      <c r="A4" s="66" t="s">
        <v>163</v>
      </c>
      <c r="B4" s="36" t="s">
        <v>164</v>
      </c>
      <c r="C4" s="37" t="s">
        <v>165</v>
      </c>
      <c r="D4" s="38"/>
      <c r="E4" s="53">
        <f>Таблица!E81</f>
        <v>2663.28</v>
      </c>
    </row>
    <row r="5" spans="1:5" ht="70.5" customHeight="1" x14ac:dyDescent="0.2">
      <c r="A5" s="66" t="s">
        <v>166</v>
      </c>
      <c r="B5" s="36" t="s">
        <v>164</v>
      </c>
      <c r="C5" s="37" t="s">
        <v>167</v>
      </c>
      <c r="D5" s="38"/>
      <c r="E5" s="53">
        <f>Таблица!E82</f>
        <v>2292.0100000000002</v>
      </c>
    </row>
    <row r="6" spans="1:5" ht="70.5" customHeight="1" x14ac:dyDescent="0.2">
      <c r="A6" s="66" t="s">
        <v>168</v>
      </c>
      <c r="B6" s="36" t="s">
        <v>164</v>
      </c>
      <c r="C6" s="37" t="s">
        <v>169</v>
      </c>
      <c r="D6" s="38"/>
      <c r="E6" s="53">
        <f>Таблица!E83</f>
        <v>2797.5400000000004</v>
      </c>
    </row>
    <row r="7" spans="1:5" ht="70.5" customHeight="1" x14ac:dyDescent="0.2">
      <c r="A7" s="66" t="s">
        <v>170</v>
      </c>
      <c r="B7" s="36" t="s">
        <v>164</v>
      </c>
      <c r="C7" s="37" t="s">
        <v>171</v>
      </c>
      <c r="D7" s="38"/>
      <c r="E7" s="53">
        <f>Таблица!E84</f>
        <v>2193.3700000000003</v>
      </c>
    </row>
    <row r="8" spans="1:5" ht="70.5" customHeight="1" x14ac:dyDescent="0.2">
      <c r="A8" s="66" t="s">
        <v>172</v>
      </c>
      <c r="B8" s="36" t="s">
        <v>164</v>
      </c>
      <c r="C8" s="37" t="s">
        <v>173</v>
      </c>
      <c r="D8" s="38"/>
      <c r="E8" s="53">
        <f>Таблица!E85</f>
        <v>2629.03</v>
      </c>
    </row>
    <row r="9" spans="1:5" ht="70.5" customHeight="1" x14ac:dyDescent="0.2">
      <c r="A9" s="66" t="s">
        <v>174</v>
      </c>
      <c r="B9" s="36" t="s">
        <v>164</v>
      </c>
      <c r="C9" s="37" t="s">
        <v>175</v>
      </c>
      <c r="D9" s="38"/>
      <c r="E9" s="53">
        <f>Таблица!E86</f>
        <v>3868.88</v>
      </c>
    </row>
    <row r="10" spans="1:5" ht="70.5" customHeight="1" x14ac:dyDescent="0.2">
      <c r="A10" s="66" t="s">
        <v>176</v>
      </c>
      <c r="B10" s="36" t="s">
        <v>164</v>
      </c>
      <c r="C10" s="37" t="s">
        <v>177</v>
      </c>
      <c r="D10" s="41"/>
      <c r="E10" s="53">
        <f>Таблица!E87</f>
        <v>5637.55</v>
      </c>
    </row>
    <row r="11" spans="1:5" ht="70.5" customHeight="1" x14ac:dyDescent="0.2">
      <c r="A11" s="66" t="s">
        <v>178</v>
      </c>
      <c r="B11" s="36" t="s">
        <v>164</v>
      </c>
      <c r="C11" s="37" t="s">
        <v>179</v>
      </c>
      <c r="D11" s="41"/>
      <c r="E11" s="53">
        <f>Таблица!E88</f>
        <v>3953.82</v>
      </c>
    </row>
    <row r="12" spans="1:5" ht="70.5" customHeight="1" x14ac:dyDescent="0.2">
      <c r="A12" s="66" t="s">
        <v>180</v>
      </c>
      <c r="B12" s="36" t="s">
        <v>164</v>
      </c>
      <c r="C12" s="37" t="s">
        <v>181</v>
      </c>
      <c r="D12" s="41"/>
      <c r="E12" s="53">
        <f>Таблица!E89</f>
        <v>5777.2900000000009</v>
      </c>
    </row>
    <row r="13" spans="1:5" ht="70.5" customHeight="1" x14ac:dyDescent="0.2">
      <c r="A13" s="66" t="s">
        <v>182</v>
      </c>
      <c r="B13" s="36" t="s">
        <v>164</v>
      </c>
      <c r="C13" s="37" t="s">
        <v>183</v>
      </c>
      <c r="D13" s="41"/>
      <c r="E13" s="53">
        <f>Таблица!E90</f>
        <v>3845.59</v>
      </c>
    </row>
    <row r="14" spans="1:5" ht="70.5" customHeight="1" x14ac:dyDescent="0.2">
      <c r="A14" s="66" t="s">
        <v>184</v>
      </c>
      <c r="B14" s="36" t="s">
        <v>185</v>
      </c>
      <c r="C14" s="37" t="s">
        <v>186</v>
      </c>
      <c r="D14" s="41"/>
      <c r="E14" s="53">
        <f>Таблица!E91</f>
        <v>1560.43</v>
      </c>
    </row>
    <row r="15" spans="1:5" ht="70.5" customHeight="1" x14ac:dyDescent="0.2">
      <c r="A15" s="66" t="s">
        <v>187</v>
      </c>
      <c r="B15" s="36" t="s">
        <v>188</v>
      </c>
      <c r="C15" s="37" t="s">
        <v>189</v>
      </c>
      <c r="D15" s="41"/>
      <c r="E15" s="53">
        <f>Таблица!E92</f>
        <v>4842.9500000000007</v>
      </c>
    </row>
    <row r="16" spans="1:5" ht="70.5" customHeight="1" x14ac:dyDescent="0.2">
      <c r="A16" s="66" t="s">
        <v>190</v>
      </c>
      <c r="B16" s="36" t="s">
        <v>191</v>
      </c>
      <c r="C16" s="37" t="s">
        <v>192</v>
      </c>
      <c r="D16" s="41"/>
      <c r="E16" s="53">
        <f>Таблица!E93</f>
        <v>3712.7000000000003</v>
      </c>
    </row>
    <row r="17" spans="1:7" ht="70.5" customHeight="1" thickBot="1" x14ac:dyDescent="0.25">
      <c r="A17" s="128" t="s">
        <v>193</v>
      </c>
      <c r="B17" s="103" t="s">
        <v>191</v>
      </c>
      <c r="C17" s="129" t="s">
        <v>194</v>
      </c>
      <c r="D17" s="56"/>
      <c r="E17" s="105">
        <f>Таблица!E94</f>
        <v>3929.1600000000003</v>
      </c>
    </row>
    <row r="18" spans="1:7" ht="70.5" customHeight="1" thickBot="1" x14ac:dyDescent="0.25">
      <c r="A18" s="130" t="s">
        <v>581</v>
      </c>
      <c r="B18" s="131" t="s">
        <v>582</v>
      </c>
      <c r="C18" s="132" t="s">
        <v>583</v>
      </c>
      <c r="D18" s="133"/>
      <c r="E18" s="134">
        <f>Таблица!E182</f>
        <v>2096.1000000000004</v>
      </c>
    </row>
    <row r="19" spans="1:7" ht="55.5" customHeight="1" x14ac:dyDescent="0.2">
      <c r="A19" s="66" t="s">
        <v>195</v>
      </c>
      <c r="B19" s="69" t="s">
        <v>196</v>
      </c>
      <c r="C19" s="37" t="s">
        <v>197</v>
      </c>
      <c r="D19" s="40"/>
      <c r="E19" s="53">
        <f>Таблица!E105</f>
        <v>2692.05</v>
      </c>
      <c r="F19" s="45"/>
      <c r="G19" s="45"/>
    </row>
    <row r="20" spans="1:7" ht="55.5" customHeight="1" x14ac:dyDescent="0.2">
      <c r="A20" s="66" t="s">
        <v>198</v>
      </c>
      <c r="B20" s="36" t="s">
        <v>199</v>
      </c>
      <c r="C20" s="37" t="s">
        <v>200</v>
      </c>
      <c r="D20" s="40"/>
      <c r="E20" s="53">
        <f>Таблица!E106</f>
        <v>468.54</v>
      </c>
      <c r="F20" s="45"/>
      <c r="G20" s="45"/>
    </row>
    <row r="21" spans="1:7" ht="15.75" customHeight="1" x14ac:dyDescent="0.2">
      <c r="A21" s="66" t="s">
        <v>201</v>
      </c>
      <c r="B21" s="36" t="s">
        <v>202</v>
      </c>
      <c r="C21" s="37"/>
      <c r="D21" s="194"/>
      <c r="E21" s="53">
        <f>Таблица!E107</f>
        <v>391.82000000000005</v>
      </c>
    </row>
    <row r="22" spans="1:7" ht="17.25" customHeight="1" x14ac:dyDescent="0.2">
      <c r="A22" s="66" t="s">
        <v>203</v>
      </c>
      <c r="B22" s="36" t="s">
        <v>204</v>
      </c>
      <c r="C22" s="37"/>
      <c r="D22" s="194"/>
      <c r="E22" s="53">
        <f>Таблица!E108</f>
        <v>476.76000000000005</v>
      </c>
    </row>
    <row r="23" spans="1:7" ht="17.25" customHeight="1" x14ac:dyDescent="0.2">
      <c r="A23" s="52" t="s">
        <v>205</v>
      </c>
      <c r="B23" s="36" t="s">
        <v>206</v>
      </c>
      <c r="C23" s="37"/>
      <c r="D23" s="194"/>
      <c r="E23" s="53">
        <f>Таблица!E109</f>
        <v>543.89</v>
      </c>
    </row>
    <row r="24" spans="1:7" ht="17.25" customHeight="1" x14ac:dyDescent="0.2">
      <c r="A24" s="57" t="s">
        <v>207</v>
      </c>
      <c r="B24" s="70" t="s">
        <v>208</v>
      </c>
      <c r="C24" s="71"/>
      <c r="D24" s="200"/>
      <c r="E24" s="60">
        <f>Таблица!E110</f>
        <v>630.20000000000005</v>
      </c>
    </row>
    <row r="25" spans="1:7" x14ac:dyDescent="0.2">
      <c r="A25" s="199"/>
      <c r="B25" s="199"/>
      <c r="C25" s="199"/>
      <c r="D25" s="199"/>
      <c r="E25" s="199"/>
    </row>
    <row r="26" spans="1:7" x14ac:dyDescent="0.2">
      <c r="A26" s="199"/>
      <c r="B26" s="199"/>
      <c r="C26" s="199"/>
      <c r="D26" s="199"/>
      <c r="E26" s="199"/>
    </row>
  </sheetData>
  <sheetProtection selectLockedCells="1" selectUnlockedCells="1"/>
  <mergeCells count="5">
    <mergeCell ref="A1:E1"/>
    <mergeCell ref="D2:E2"/>
    <mergeCell ref="A25:E25"/>
    <mergeCell ref="A26:E26"/>
    <mergeCell ref="D21:D24"/>
  </mergeCells>
  <pageMargins left="0.39370078740157499" right="0.39370078740157499" top="0.39370078740157499" bottom="0.39370078740157499" header="0.78740157480314998" footer="0.78740157480314998"/>
  <pageSetup paperSize="9" scale="67" fitToHeight="2" orientation="portrait" useFirstPageNumber="1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E30"/>
  <sheetViews>
    <sheetView showGridLines="0" zoomScale="85" zoomScaleNormal="85" zoomScaleSheetLayoutView="70" zoomScalePageLayoutView="85" workbookViewId="0">
      <selection activeCell="A30" sqref="A30"/>
    </sheetView>
  </sheetViews>
  <sheetFormatPr defaultColWidth="11.5703125" defaultRowHeight="15" x14ac:dyDescent="0.2"/>
  <cols>
    <col min="1" max="1" width="22.140625" style="54" customWidth="1"/>
    <col min="2" max="2" width="52.85546875" style="28" customWidth="1"/>
    <col min="3" max="3" width="30.28515625" style="54" customWidth="1"/>
    <col min="4" max="4" width="26.7109375" style="29" customWidth="1"/>
    <col min="5" max="5" width="17.140625" style="30" customWidth="1"/>
    <col min="6" max="16384" width="11.5703125" style="29"/>
  </cols>
  <sheetData>
    <row r="1" spans="1:5" ht="18.75" x14ac:dyDescent="0.2">
      <c r="A1" s="204" t="s">
        <v>209</v>
      </c>
      <c r="B1" s="205"/>
      <c r="C1" s="205"/>
      <c r="D1" s="205"/>
      <c r="E1" s="206"/>
    </row>
    <row r="2" spans="1:5" ht="18.75" x14ac:dyDescent="0.2">
      <c r="A2" s="31"/>
      <c r="B2" s="32"/>
      <c r="C2" s="32"/>
      <c r="D2" s="197" t="str">
        <f>'Столы, Тумбы'!E7</f>
        <v>Измененен: 01.01.2026</v>
      </c>
      <c r="E2" s="198"/>
    </row>
    <row r="3" spans="1:5" x14ac:dyDescent="0.25">
      <c r="A3" s="42" t="s">
        <v>210</v>
      </c>
      <c r="B3" s="43"/>
      <c r="C3" s="44"/>
      <c r="D3" s="45"/>
      <c r="E3" s="46"/>
    </row>
    <row r="4" spans="1:5" x14ac:dyDescent="0.25">
      <c r="A4" s="42" t="s">
        <v>211</v>
      </c>
      <c r="B4" s="43"/>
      <c r="C4" s="44"/>
      <c r="D4" s="45"/>
      <c r="E4" s="46"/>
    </row>
    <row r="5" spans="1:5" x14ac:dyDescent="0.25">
      <c r="A5" s="42" t="s">
        <v>212</v>
      </c>
      <c r="B5" s="43"/>
      <c r="C5" s="44"/>
      <c r="D5" s="45"/>
      <c r="E5" s="46"/>
    </row>
    <row r="6" spans="1:5" x14ac:dyDescent="0.25">
      <c r="A6" s="42" t="s">
        <v>213</v>
      </c>
      <c r="B6" s="43"/>
      <c r="C6" s="44"/>
      <c r="D6" s="45"/>
      <c r="E6" s="46"/>
    </row>
    <row r="7" spans="1:5" x14ac:dyDescent="0.25">
      <c r="A7" s="42" t="s">
        <v>214</v>
      </c>
      <c r="B7" s="43"/>
      <c r="C7" s="44"/>
      <c r="D7" s="45"/>
      <c r="E7" s="46"/>
    </row>
    <row r="8" spans="1:5" x14ac:dyDescent="0.2">
      <c r="A8" s="47" t="s">
        <v>13</v>
      </c>
      <c r="B8" s="48" t="s">
        <v>14</v>
      </c>
      <c r="C8" s="49" t="s">
        <v>15</v>
      </c>
      <c r="D8" s="50" t="s">
        <v>16</v>
      </c>
      <c r="E8" s="51" t="s">
        <v>17</v>
      </c>
    </row>
    <row r="9" spans="1:5" ht="80.25" customHeight="1" x14ac:dyDescent="0.2">
      <c r="A9" s="52" t="s">
        <v>215</v>
      </c>
      <c r="B9" s="36" t="s">
        <v>216</v>
      </c>
      <c r="C9" s="23" t="s">
        <v>217</v>
      </c>
      <c r="D9" s="38"/>
      <c r="E9" s="53">
        <f>Таблица!E125</f>
        <v>11013.43</v>
      </c>
    </row>
    <row r="10" spans="1:5" ht="80.25" customHeight="1" x14ac:dyDescent="0.2">
      <c r="A10" s="52" t="s">
        <v>218</v>
      </c>
      <c r="B10" s="36" t="s">
        <v>216</v>
      </c>
      <c r="C10" s="23" t="s">
        <v>219</v>
      </c>
      <c r="D10" s="38"/>
      <c r="E10" s="53">
        <f>Таблица!E126</f>
        <v>12698.53</v>
      </c>
    </row>
    <row r="11" spans="1:5" ht="80.25" customHeight="1" x14ac:dyDescent="0.2">
      <c r="A11" s="52" t="s">
        <v>220</v>
      </c>
      <c r="B11" s="36" t="s">
        <v>216</v>
      </c>
      <c r="C11" s="23" t="s">
        <v>221</v>
      </c>
      <c r="D11" s="38"/>
      <c r="E11" s="53">
        <f>Таблица!E127</f>
        <v>14538.44</v>
      </c>
    </row>
    <row r="12" spans="1:5" ht="80.25" customHeight="1" x14ac:dyDescent="0.2">
      <c r="A12" s="52" t="s">
        <v>222</v>
      </c>
      <c r="B12" s="36" t="s">
        <v>216</v>
      </c>
      <c r="C12" s="23" t="s">
        <v>223</v>
      </c>
      <c r="D12" s="41"/>
      <c r="E12" s="53">
        <f>Таблица!E128</f>
        <v>16182.44</v>
      </c>
    </row>
    <row r="13" spans="1:5" ht="80.25" customHeight="1" x14ac:dyDescent="0.2">
      <c r="A13" s="52" t="s">
        <v>224</v>
      </c>
      <c r="B13" s="36" t="s">
        <v>216</v>
      </c>
      <c r="C13" s="23" t="s">
        <v>225</v>
      </c>
      <c r="D13" s="41"/>
      <c r="E13" s="53">
        <f>Таблица!E129</f>
        <v>18367.59</v>
      </c>
    </row>
    <row r="14" spans="1:5" ht="80.25" customHeight="1" x14ac:dyDescent="0.2">
      <c r="A14" s="52" t="s">
        <v>226</v>
      </c>
      <c r="B14" s="55" t="s">
        <v>227</v>
      </c>
      <c r="C14" s="23" t="s">
        <v>228</v>
      </c>
      <c r="D14" s="56"/>
      <c r="E14" s="53">
        <f>Таблица!E130</f>
        <v>18538.84</v>
      </c>
    </row>
    <row r="15" spans="1:5" ht="80.25" customHeight="1" x14ac:dyDescent="0.2">
      <c r="A15" s="52" t="s">
        <v>229</v>
      </c>
      <c r="B15" s="55" t="s">
        <v>230</v>
      </c>
      <c r="C15" s="23" t="s">
        <v>228</v>
      </c>
      <c r="D15" s="56"/>
      <c r="E15" s="53">
        <f>Таблица!E131</f>
        <v>18538.84</v>
      </c>
    </row>
    <row r="16" spans="1:5" ht="42" customHeight="1" x14ac:dyDescent="0.2">
      <c r="A16" s="52" t="s">
        <v>231</v>
      </c>
      <c r="B16" s="36" t="s">
        <v>232</v>
      </c>
      <c r="C16" s="23" t="s">
        <v>233</v>
      </c>
      <c r="D16" s="201"/>
      <c r="E16" s="53">
        <f>Таблица!E132</f>
        <v>4182.6100000000006</v>
      </c>
    </row>
    <row r="17" spans="1:5" ht="42" customHeight="1" x14ac:dyDescent="0.2">
      <c r="A17" s="52" t="s">
        <v>234</v>
      </c>
      <c r="B17" s="36" t="s">
        <v>235</v>
      </c>
      <c r="C17" s="23" t="s">
        <v>233</v>
      </c>
      <c r="D17" s="203"/>
      <c r="E17" s="53">
        <f>Таблица!E133</f>
        <v>4182.6100000000006</v>
      </c>
    </row>
    <row r="18" spans="1:5" ht="42" customHeight="1" x14ac:dyDescent="0.2">
      <c r="A18" s="52" t="s">
        <v>236</v>
      </c>
      <c r="B18" s="36" t="s">
        <v>237</v>
      </c>
      <c r="C18" s="23" t="s">
        <v>238</v>
      </c>
      <c r="D18" s="201"/>
      <c r="E18" s="53">
        <f>Таблица!E134</f>
        <v>1960.4700000000003</v>
      </c>
    </row>
    <row r="19" spans="1:5" ht="42" customHeight="1" x14ac:dyDescent="0.2">
      <c r="A19" s="52" t="s">
        <v>239</v>
      </c>
      <c r="B19" s="36" t="s">
        <v>240</v>
      </c>
      <c r="C19" s="23" t="s">
        <v>238</v>
      </c>
      <c r="D19" s="203"/>
      <c r="E19" s="53">
        <f>Таблица!E135</f>
        <v>1960.4700000000003</v>
      </c>
    </row>
    <row r="20" spans="1:5" ht="21.75" customHeight="1" x14ac:dyDescent="0.2">
      <c r="A20" s="52" t="s">
        <v>241</v>
      </c>
      <c r="B20" s="36" t="s">
        <v>242</v>
      </c>
      <c r="C20" s="23" t="s">
        <v>243</v>
      </c>
      <c r="D20" s="201"/>
      <c r="E20" s="53">
        <f>Таблица!E136</f>
        <v>2676.98</v>
      </c>
    </row>
    <row r="21" spans="1:5" ht="21.75" customHeight="1" x14ac:dyDescent="0.2">
      <c r="A21" s="52" t="s">
        <v>244</v>
      </c>
      <c r="B21" s="36" t="s">
        <v>245</v>
      </c>
      <c r="C21" s="23" t="s">
        <v>246</v>
      </c>
      <c r="D21" s="202"/>
      <c r="E21" s="53">
        <f>Таблица!E137</f>
        <v>3274.3</v>
      </c>
    </row>
    <row r="22" spans="1:5" ht="21.75" customHeight="1" x14ac:dyDescent="0.2">
      <c r="A22" s="52" t="s">
        <v>247</v>
      </c>
      <c r="B22" s="36" t="s">
        <v>248</v>
      </c>
      <c r="C22" s="23" t="s">
        <v>249</v>
      </c>
      <c r="D22" s="202"/>
      <c r="E22" s="53">
        <f>Таблица!E138</f>
        <v>3815.4500000000003</v>
      </c>
    </row>
    <row r="23" spans="1:5" ht="21.75" customHeight="1" x14ac:dyDescent="0.2">
      <c r="A23" s="52" t="s">
        <v>250</v>
      </c>
      <c r="B23" s="36" t="s">
        <v>251</v>
      </c>
      <c r="C23" s="23" t="s">
        <v>252</v>
      </c>
      <c r="D23" s="202"/>
      <c r="E23" s="53">
        <f>Таблица!E139</f>
        <v>4320.9800000000005</v>
      </c>
    </row>
    <row r="24" spans="1:5" ht="21.75" customHeight="1" x14ac:dyDescent="0.2">
      <c r="A24" s="52" t="s">
        <v>253</v>
      </c>
      <c r="B24" s="36" t="s">
        <v>254</v>
      </c>
      <c r="C24" s="23" t="s">
        <v>255</v>
      </c>
      <c r="D24" s="203"/>
      <c r="E24" s="53">
        <f>Таблица!E140</f>
        <v>5004.6100000000006</v>
      </c>
    </row>
    <row r="25" spans="1:5" ht="21.75" customHeight="1" x14ac:dyDescent="0.2">
      <c r="A25" s="52" t="s">
        <v>256</v>
      </c>
      <c r="B25" s="36" t="s">
        <v>257</v>
      </c>
      <c r="C25" s="23" t="s">
        <v>243</v>
      </c>
      <c r="D25" s="201"/>
      <c r="E25" s="53">
        <f>Таблица!E141</f>
        <v>9048.85</v>
      </c>
    </row>
    <row r="26" spans="1:5" ht="21.75" customHeight="1" x14ac:dyDescent="0.2">
      <c r="A26" s="52" t="s">
        <v>258</v>
      </c>
      <c r="B26" s="36" t="s">
        <v>259</v>
      </c>
      <c r="C26" s="23" t="s">
        <v>246</v>
      </c>
      <c r="D26" s="202"/>
      <c r="E26" s="53">
        <f>Таблица!E142</f>
        <v>10176.36</v>
      </c>
    </row>
    <row r="27" spans="1:5" ht="21.75" customHeight="1" x14ac:dyDescent="0.2">
      <c r="A27" s="52" t="s">
        <v>260</v>
      </c>
      <c r="B27" s="36" t="s">
        <v>261</v>
      </c>
      <c r="C27" s="23" t="s">
        <v>249</v>
      </c>
      <c r="D27" s="202"/>
      <c r="E27" s="53">
        <f>Таблица!E143</f>
        <v>11243.59</v>
      </c>
    </row>
    <row r="28" spans="1:5" ht="21.75" customHeight="1" x14ac:dyDescent="0.2">
      <c r="A28" s="52" t="s">
        <v>262</v>
      </c>
      <c r="B28" s="36" t="s">
        <v>263</v>
      </c>
      <c r="C28" s="23" t="s">
        <v>252</v>
      </c>
      <c r="D28" s="202"/>
      <c r="E28" s="53">
        <f>Таблица!E144</f>
        <v>11544.990000000002</v>
      </c>
    </row>
    <row r="29" spans="1:5" ht="21.75" customHeight="1" x14ac:dyDescent="0.2">
      <c r="A29" s="52" t="s">
        <v>264</v>
      </c>
      <c r="B29" s="36" t="s">
        <v>265</v>
      </c>
      <c r="C29" s="23" t="s">
        <v>255</v>
      </c>
      <c r="D29" s="203"/>
      <c r="E29" s="53">
        <f>Таблица!E145</f>
        <v>12645.1</v>
      </c>
    </row>
    <row r="30" spans="1:5" ht="84" customHeight="1" x14ac:dyDescent="0.2">
      <c r="A30" s="57" t="s">
        <v>266</v>
      </c>
      <c r="B30" s="58" t="s">
        <v>267</v>
      </c>
      <c r="C30" s="24" t="s">
        <v>268</v>
      </c>
      <c r="D30" s="59"/>
      <c r="E30" s="60">
        <f>Таблица!E146</f>
        <v>3634.61</v>
      </c>
    </row>
  </sheetData>
  <sheetProtection selectLockedCells="1" selectUnlockedCells="1"/>
  <mergeCells count="6">
    <mergeCell ref="D25:D29"/>
    <mergeCell ref="A1:E1"/>
    <mergeCell ref="D2:E2"/>
    <mergeCell ref="D16:D17"/>
    <mergeCell ref="D18:D19"/>
    <mergeCell ref="D20:D24"/>
  </mergeCells>
  <pageMargins left="0.39370078740157499" right="0.39370078740157499" top="0.39370078740157499" bottom="0.39370078740157499" header="0.78740157480314998" footer="0.78740157480314998"/>
  <pageSetup paperSize="9" scale="65" orientation="portrait" useFirstPageNumber="1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13"/>
  <sheetViews>
    <sheetView showGridLines="0" workbookViewId="0">
      <selection activeCell="B10" sqref="B10"/>
    </sheetView>
  </sheetViews>
  <sheetFormatPr defaultColWidth="9" defaultRowHeight="12.75" x14ac:dyDescent="0.2"/>
  <cols>
    <col min="1" max="1" width="14.7109375" customWidth="1"/>
    <col min="2" max="2" width="20.28515625" customWidth="1"/>
    <col min="3" max="3" width="21.28515625" customWidth="1"/>
    <col min="4" max="4" width="33.42578125" customWidth="1"/>
    <col min="5" max="5" width="11.5703125" customWidth="1"/>
  </cols>
  <sheetData>
    <row r="1" spans="1:5" ht="18.75" x14ac:dyDescent="0.2">
      <c r="A1" s="204" t="s">
        <v>209</v>
      </c>
      <c r="B1" s="205"/>
      <c r="C1" s="205"/>
      <c r="D1" s="205"/>
      <c r="E1" s="206"/>
    </row>
    <row r="2" spans="1:5" ht="18.75" x14ac:dyDescent="0.2">
      <c r="A2" s="31"/>
      <c r="B2" s="32"/>
      <c r="C2" s="32"/>
      <c r="D2" s="197" t="str">
        <f>'Столы, Тумбы'!E7</f>
        <v>Измененен: 01.01.2026</v>
      </c>
      <c r="E2" s="198"/>
    </row>
    <row r="3" spans="1:5" ht="15" x14ac:dyDescent="0.25">
      <c r="A3" s="42" t="s">
        <v>210</v>
      </c>
      <c r="B3" s="43"/>
      <c r="C3" s="44"/>
      <c r="D3" s="45"/>
      <c r="E3" s="46"/>
    </row>
    <row r="4" spans="1:5" ht="15" x14ac:dyDescent="0.25">
      <c r="A4" s="42" t="s">
        <v>211</v>
      </c>
      <c r="B4" s="43"/>
      <c r="C4" s="44"/>
      <c r="D4" s="45"/>
      <c r="E4" s="46"/>
    </row>
    <row r="5" spans="1:5" ht="15" x14ac:dyDescent="0.25">
      <c r="A5" s="42" t="s">
        <v>212</v>
      </c>
      <c r="B5" s="43"/>
      <c r="C5" s="44"/>
      <c r="D5" s="45"/>
      <c r="E5" s="46"/>
    </row>
    <row r="6" spans="1:5" ht="15" x14ac:dyDescent="0.25">
      <c r="A6" s="42" t="s">
        <v>213</v>
      </c>
      <c r="B6" s="43"/>
      <c r="C6" s="44"/>
      <c r="D6" s="45"/>
      <c r="E6" s="46"/>
    </row>
    <row r="7" spans="1:5" ht="15" x14ac:dyDescent="0.25">
      <c r="A7" s="42" t="s">
        <v>214</v>
      </c>
      <c r="B7" s="43"/>
      <c r="C7" s="44"/>
      <c r="D7" s="45"/>
      <c r="E7" s="46"/>
    </row>
    <row r="8" spans="1:5" ht="15" x14ac:dyDescent="0.2">
      <c r="A8" s="47" t="s">
        <v>13</v>
      </c>
      <c r="B8" s="48" t="s">
        <v>14</v>
      </c>
      <c r="C8" s="49" t="s">
        <v>15</v>
      </c>
      <c r="D8" s="50" t="s">
        <v>16</v>
      </c>
      <c r="E8" s="51" t="s">
        <v>17</v>
      </c>
    </row>
    <row r="9" spans="1:5" ht="83.25" customHeight="1" x14ac:dyDescent="0.2">
      <c r="A9" s="52" t="s">
        <v>269</v>
      </c>
      <c r="B9" s="36" t="s">
        <v>270</v>
      </c>
      <c r="C9" s="23" t="s">
        <v>271</v>
      </c>
      <c r="D9" s="38"/>
      <c r="E9" s="136">
        <f>Таблица!E184</f>
        <v>27162.99</v>
      </c>
    </row>
    <row r="10" spans="1:5" ht="86.25" customHeight="1" x14ac:dyDescent="0.2">
      <c r="A10" s="52" t="s">
        <v>272</v>
      </c>
      <c r="B10" s="36" t="s">
        <v>273</v>
      </c>
      <c r="C10" s="23" t="s">
        <v>274</v>
      </c>
      <c r="D10" s="38"/>
      <c r="E10" s="136">
        <f>Таблица!E185</f>
        <v>92265.390000000014</v>
      </c>
    </row>
    <row r="11" spans="1:5" ht="72.75" customHeight="1" x14ac:dyDescent="0.2">
      <c r="A11" s="52" t="s">
        <v>275</v>
      </c>
      <c r="B11" s="36" t="s">
        <v>276</v>
      </c>
      <c r="C11" s="23" t="s">
        <v>277</v>
      </c>
      <c r="D11" s="38"/>
      <c r="E11" s="136">
        <f>Таблица!E186</f>
        <v>37396.89</v>
      </c>
    </row>
    <row r="12" spans="1:5" ht="89.25" customHeight="1" x14ac:dyDescent="0.2">
      <c r="A12" s="52" t="s">
        <v>278</v>
      </c>
      <c r="B12" s="36" t="s">
        <v>279</v>
      </c>
      <c r="C12" s="23" t="s">
        <v>280</v>
      </c>
      <c r="D12" s="41"/>
      <c r="E12" s="136">
        <f>Таблица!E187</f>
        <v>55935.73</v>
      </c>
    </row>
    <row r="13" spans="1:5" ht="112.5" customHeight="1" x14ac:dyDescent="0.2">
      <c r="A13" s="52" t="s">
        <v>281</v>
      </c>
      <c r="B13" s="36" t="s">
        <v>282</v>
      </c>
      <c r="C13" s="23" t="s">
        <v>283</v>
      </c>
      <c r="D13" s="41"/>
      <c r="E13" s="136">
        <f>Таблица!E188</f>
        <v>60966.37</v>
      </c>
    </row>
  </sheetData>
  <mergeCells count="2">
    <mergeCell ref="A1:E1"/>
    <mergeCell ref="D2:E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E12"/>
  <sheetViews>
    <sheetView showGridLines="0" zoomScaleSheetLayoutView="70" zoomScalePageLayoutView="85" workbookViewId="0">
      <selection activeCell="A11" sqref="A11"/>
    </sheetView>
  </sheetViews>
  <sheetFormatPr defaultColWidth="11.5703125" defaultRowHeight="15" x14ac:dyDescent="0.2"/>
  <cols>
    <col min="1" max="1" width="22.140625" style="27" customWidth="1"/>
    <col min="2" max="2" width="52.85546875" style="28" customWidth="1"/>
    <col min="3" max="3" width="24.5703125" style="27" customWidth="1"/>
    <col min="4" max="4" width="26.7109375" style="29" customWidth="1"/>
    <col min="5" max="5" width="17.140625" style="30" customWidth="1"/>
    <col min="6" max="16384" width="11.5703125" style="29"/>
  </cols>
  <sheetData>
    <row r="1" spans="1:5" ht="18.75" x14ac:dyDescent="0.2">
      <c r="A1" s="196" t="s">
        <v>5</v>
      </c>
      <c r="B1" s="196"/>
      <c r="C1" s="196"/>
      <c r="D1" s="196"/>
      <c r="E1" s="196"/>
    </row>
    <row r="2" spans="1:5" ht="18.75" x14ac:dyDescent="0.2">
      <c r="A2" s="31"/>
      <c r="B2" s="32"/>
      <c r="C2" s="32"/>
      <c r="D2" s="197" t="str">
        <f>'Столы, Тумбы'!E7</f>
        <v>Измененен: 01.01.2026</v>
      </c>
      <c r="E2" s="198"/>
    </row>
    <row r="3" spans="1:5" x14ac:dyDescent="0.2">
      <c r="A3" s="33" t="s">
        <v>13</v>
      </c>
      <c r="B3" s="34" t="s">
        <v>14</v>
      </c>
      <c r="C3" s="33" t="s">
        <v>15</v>
      </c>
      <c r="D3" s="33" t="s">
        <v>16</v>
      </c>
      <c r="E3" s="33" t="s">
        <v>17</v>
      </c>
    </row>
    <row r="4" spans="1:5" ht="70.5" customHeight="1" x14ac:dyDescent="0.2">
      <c r="A4" s="35" t="s">
        <v>284</v>
      </c>
      <c r="B4" s="36" t="s">
        <v>285</v>
      </c>
      <c r="C4" s="37" t="s">
        <v>89</v>
      </c>
      <c r="D4" s="38"/>
      <c r="E4" s="39">
        <f>Таблица!E111</f>
        <v>12510.84</v>
      </c>
    </row>
    <row r="5" spans="1:5" ht="70.5" customHeight="1" x14ac:dyDescent="0.2">
      <c r="A5" s="35" t="s">
        <v>286</v>
      </c>
      <c r="B5" s="36" t="s">
        <v>287</v>
      </c>
      <c r="C5" s="37" t="s">
        <v>68</v>
      </c>
      <c r="D5" s="38"/>
      <c r="E5" s="39">
        <f>Таблица!E112</f>
        <v>15427.570000000002</v>
      </c>
    </row>
    <row r="6" spans="1:5" ht="70.5" customHeight="1" x14ac:dyDescent="0.2">
      <c r="A6" s="35" t="s">
        <v>288</v>
      </c>
      <c r="B6" s="36" t="s">
        <v>289</v>
      </c>
      <c r="C6" s="37" t="s">
        <v>290</v>
      </c>
      <c r="D6" s="40"/>
      <c r="E6" s="39">
        <f>Таблица!E113</f>
        <v>3066.0600000000004</v>
      </c>
    </row>
    <row r="7" spans="1:5" ht="70.5" customHeight="1" x14ac:dyDescent="0.2">
      <c r="A7" s="35" t="s">
        <v>291</v>
      </c>
      <c r="B7" s="36" t="s">
        <v>292</v>
      </c>
      <c r="C7" s="37" t="s">
        <v>293</v>
      </c>
      <c r="D7" s="38"/>
      <c r="E7" s="39">
        <f>Таблица!E115</f>
        <v>2081.0300000000002</v>
      </c>
    </row>
    <row r="8" spans="1:5" ht="70.5" customHeight="1" x14ac:dyDescent="0.2">
      <c r="A8" s="35" t="s">
        <v>294</v>
      </c>
      <c r="B8" s="36" t="s">
        <v>295</v>
      </c>
      <c r="C8" s="37" t="s">
        <v>296</v>
      </c>
      <c r="D8" s="38"/>
      <c r="E8" s="39">
        <f>Таблица!E117</f>
        <v>1722.0900000000001</v>
      </c>
    </row>
    <row r="9" spans="1:5" ht="70.5" customHeight="1" x14ac:dyDescent="0.2">
      <c r="A9" s="35" t="s">
        <v>297</v>
      </c>
      <c r="B9" s="36" t="s">
        <v>298</v>
      </c>
      <c r="C9" s="37" t="s">
        <v>299</v>
      </c>
      <c r="D9" s="38"/>
      <c r="E9" s="39">
        <f>Таблица!E119</f>
        <v>2438.6000000000004</v>
      </c>
    </row>
    <row r="10" spans="1:5" ht="70.5" customHeight="1" x14ac:dyDescent="0.2">
      <c r="A10" s="35" t="s">
        <v>300</v>
      </c>
      <c r="B10" s="36" t="s">
        <v>301</v>
      </c>
      <c r="C10" s="37" t="s">
        <v>302</v>
      </c>
      <c r="D10" s="38"/>
      <c r="E10" s="39">
        <f>Таблица!E121</f>
        <v>1986.5000000000002</v>
      </c>
    </row>
    <row r="11" spans="1:5" ht="25.5" customHeight="1" x14ac:dyDescent="0.2">
      <c r="A11" s="35" t="s">
        <v>303</v>
      </c>
      <c r="B11" s="36" t="s">
        <v>304</v>
      </c>
      <c r="C11" s="37"/>
      <c r="D11" s="41"/>
      <c r="E11" s="39">
        <f>Таблица!E123</f>
        <v>828.85</v>
      </c>
    </row>
    <row r="12" spans="1:5" ht="25.5" customHeight="1" x14ac:dyDescent="0.2">
      <c r="A12" s="35" t="s">
        <v>305</v>
      </c>
      <c r="B12" s="36" t="s">
        <v>304</v>
      </c>
      <c r="C12" s="37"/>
      <c r="D12" s="41"/>
      <c r="E12" s="39">
        <f>Таблица!E124</f>
        <v>828.85</v>
      </c>
    </row>
  </sheetData>
  <sheetProtection selectLockedCells="1" selectUnlockedCells="1"/>
  <mergeCells count="2">
    <mergeCell ref="A1:E1"/>
    <mergeCell ref="D2:E2"/>
  </mergeCells>
  <pageMargins left="0.39370078740157499" right="0.39370078740157499" top="0.39370078740157499" bottom="0.39370078740157499" header="0.78740157480314998" footer="0.78740157480314998"/>
  <pageSetup paperSize="9" scale="67" orientation="portrait" useFirstPageNumber="1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  <pageSetUpPr fitToPage="1"/>
  </sheetPr>
  <dimension ref="A2:AQ195"/>
  <sheetViews>
    <sheetView zoomScale="93" zoomScaleNormal="93" zoomScaleSheetLayoutView="90" workbookViewId="0">
      <pane xSplit="7" ySplit="3" topLeftCell="H4" activePane="bottomRight" state="frozen"/>
      <selection pane="topRight"/>
      <selection pane="bottomLeft"/>
      <selection pane="bottomRight" activeCell="G4" sqref="G4"/>
    </sheetView>
  </sheetViews>
  <sheetFormatPr defaultColWidth="11.5703125" defaultRowHeight="16.5" customHeight="1" x14ac:dyDescent="0.2"/>
  <cols>
    <col min="1" max="1" width="16.28515625" style="1" customWidth="1"/>
    <col min="2" max="2" width="57" style="1" customWidth="1"/>
    <col min="3" max="3" width="16.5703125" style="1" customWidth="1"/>
    <col min="4" max="4" width="12" style="1" customWidth="1"/>
    <col min="5" max="5" width="10.140625" style="1" customWidth="1"/>
    <col min="6" max="6" width="25" style="145" hidden="1" customWidth="1"/>
    <col min="7" max="7" width="8" style="1" customWidth="1"/>
    <col min="8" max="8" width="9" style="147" customWidth="1"/>
    <col min="9" max="9" width="16.28515625" style="1" customWidth="1"/>
    <col min="10" max="10" width="40" style="1" customWidth="1"/>
    <col min="11" max="11" width="17" style="1" customWidth="1"/>
    <col min="12" max="12" width="8" style="1" customWidth="1"/>
    <col min="13" max="13" width="9.140625" style="1" customWidth="1"/>
    <col min="14" max="14" width="11.5703125" style="1"/>
    <col min="15" max="15" width="15.85546875" style="1" customWidth="1"/>
    <col min="16" max="16" width="37.42578125" style="1" customWidth="1"/>
    <col min="17" max="17" width="14.42578125" style="1" customWidth="1"/>
    <col min="18" max="18" width="12" style="1" customWidth="1"/>
    <col min="19" max="19" width="8.7109375" style="1" customWidth="1"/>
    <col min="20" max="20" width="11.5703125" style="1"/>
    <col min="21" max="21" width="15.28515625" style="1" customWidth="1"/>
    <col min="22" max="22" width="63.42578125" style="1" customWidth="1"/>
    <col min="23" max="23" width="14.42578125" style="1" customWidth="1"/>
    <col min="24" max="24" width="8" style="1" customWidth="1"/>
    <col min="25" max="25" width="8.85546875" style="1" customWidth="1"/>
    <col min="26" max="26" width="11.5703125" style="1"/>
    <col min="27" max="27" width="13.5703125" style="1" customWidth="1"/>
    <col min="28" max="28" width="79.5703125" style="1" customWidth="1"/>
    <col min="29" max="29" width="13" style="1" customWidth="1"/>
    <col min="30" max="30" width="8" style="1" customWidth="1"/>
    <col min="31" max="31" width="10.140625" style="1" customWidth="1"/>
    <col min="32" max="32" width="11.5703125" style="1"/>
    <col min="33" max="33" width="14.42578125" style="1" customWidth="1"/>
    <col min="34" max="34" width="79.5703125" style="1" customWidth="1"/>
    <col min="35" max="35" width="13" style="1" customWidth="1"/>
    <col min="36" max="36" width="8" style="1" customWidth="1"/>
    <col min="37" max="37" width="10" style="1" customWidth="1"/>
    <col min="38" max="38" width="11.5703125" style="1"/>
    <col min="39" max="39" width="11.28515625" style="1" customWidth="1"/>
    <col min="40" max="40" width="42.85546875" style="1" customWidth="1"/>
    <col min="41" max="41" width="9.140625" style="1" customWidth="1"/>
    <col min="42" max="42" width="8" style="1" customWidth="1"/>
    <col min="43" max="43" width="6.5703125" style="1" customWidth="1"/>
    <col min="44" max="16384" width="11.5703125" style="1"/>
  </cols>
  <sheetData>
    <row r="2" spans="1:43" ht="16.5" customHeight="1" x14ac:dyDescent="0.2">
      <c r="A2" s="144"/>
      <c r="G2" s="146" t="s">
        <v>306</v>
      </c>
    </row>
    <row r="3" spans="1:43" ht="51.75" customHeight="1" x14ac:dyDescent="0.2">
      <c r="A3" s="2" t="s">
        <v>13</v>
      </c>
      <c r="B3" s="3" t="s">
        <v>14</v>
      </c>
      <c r="C3" s="3" t="s">
        <v>64</v>
      </c>
      <c r="D3" s="2" t="s">
        <v>65</v>
      </c>
      <c r="E3" s="139" t="s">
        <v>307</v>
      </c>
      <c r="G3" s="189">
        <v>1.37</v>
      </c>
      <c r="I3" s="20" t="s">
        <v>13</v>
      </c>
      <c r="J3" s="20" t="s">
        <v>308</v>
      </c>
      <c r="K3" s="20" t="s">
        <v>309</v>
      </c>
      <c r="L3" s="20" t="s">
        <v>310</v>
      </c>
      <c r="M3" s="20" t="s">
        <v>311</v>
      </c>
      <c r="O3" s="20" t="s">
        <v>13</v>
      </c>
      <c r="P3" s="20" t="s">
        <v>312</v>
      </c>
      <c r="Q3" s="20" t="s">
        <v>309</v>
      </c>
      <c r="R3" s="20" t="s">
        <v>310</v>
      </c>
      <c r="S3" s="20" t="s">
        <v>311</v>
      </c>
      <c r="U3" s="20" t="s">
        <v>13</v>
      </c>
      <c r="V3" s="20" t="s">
        <v>313</v>
      </c>
      <c r="W3" s="20" t="s">
        <v>309</v>
      </c>
      <c r="X3" s="20" t="s">
        <v>310</v>
      </c>
      <c r="Y3" s="20" t="s">
        <v>311</v>
      </c>
      <c r="AA3" s="20" t="s">
        <v>13</v>
      </c>
      <c r="AB3" s="20" t="s">
        <v>314</v>
      </c>
      <c r="AC3" s="20" t="s">
        <v>309</v>
      </c>
      <c r="AD3" s="20" t="s">
        <v>310</v>
      </c>
      <c r="AE3" s="20" t="s">
        <v>311</v>
      </c>
      <c r="AG3" s="20" t="s">
        <v>13</v>
      </c>
      <c r="AH3" s="20" t="s">
        <v>315</v>
      </c>
      <c r="AI3" s="20" t="s">
        <v>309</v>
      </c>
      <c r="AJ3" s="20" t="s">
        <v>310</v>
      </c>
      <c r="AK3" s="20" t="s">
        <v>311</v>
      </c>
      <c r="AM3" s="20" t="s">
        <v>13</v>
      </c>
      <c r="AN3" s="20" t="s">
        <v>316</v>
      </c>
      <c r="AO3" s="20" t="s">
        <v>309</v>
      </c>
      <c r="AP3" s="20" t="s">
        <v>310</v>
      </c>
      <c r="AQ3" s="20" t="s">
        <v>311</v>
      </c>
    </row>
    <row r="4" spans="1:43" ht="16.5" customHeight="1" x14ac:dyDescent="0.2">
      <c r="A4" s="3" t="s">
        <v>18</v>
      </c>
      <c r="B4" s="4" t="s">
        <v>19</v>
      </c>
      <c r="C4" s="5" t="s">
        <v>20</v>
      </c>
      <c r="D4" s="6">
        <v>5151</v>
      </c>
      <c r="E4" s="140">
        <f t="shared" ref="E4:E82" si="0">D4*$G$3</f>
        <v>7056.8700000000008</v>
      </c>
      <c r="F4" s="145" t="s">
        <v>317</v>
      </c>
      <c r="G4" s="148"/>
    </row>
    <row r="5" spans="1:43" ht="16.5" customHeight="1" x14ac:dyDescent="0.2">
      <c r="A5" s="3" t="s">
        <v>21</v>
      </c>
      <c r="B5" s="4" t="s">
        <v>19</v>
      </c>
      <c r="C5" s="5" t="s">
        <v>22</v>
      </c>
      <c r="D5" s="6">
        <v>5976</v>
      </c>
      <c r="E5" s="140">
        <f t="shared" si="0"/>
        <v>8187.1200000000008</v>
      </c>
      <c r="F5" s="145" t="s">
        <v>318</v>
      </c>
      <c r="G5" s="148"/>
    </row>
    <row r="6" spans="1:43" ht="16.5" customHeight="1" x14ac:dyDescent="0.2">
      <c r="A6" s="3" t="s">
        <v>23</v>
      </c>
      <c r="B6" s="4" t="s">
        <v>19</v>
      </c>
      <c r="C6" s="5" t="s">
        <v>24</v>
      </c>
      <c r="D6" s="6">
        <v>6427</v>
      </c>
      <c r="E6" s="140">
        <f t="shared" si="0"/>
        <v>8804.99</v>
      </c>
      <c r="F6" s="145" t="s">
        <v>319</v>
      </c>
      <c r="G6" s="148"/>
    </row>
    <row r="7" spans="1:43" ht="16.5" customHeight="1" x14ac:dyDescent="0.2">
      <c r="A7" s="3" t="s">
        <v>25</v>
      </c>
      <c r="B7" s="4" t="s">
        <v>19</v>
      </c>
      <c r="C7" s="5" t="s">
        <v>26</v>
      </c>
      <c r="D7" s="6">
        <v>7040</v>
      </c>
      <c r="E7" s="140">
        <f t="shared" si="0"/>
        <v>9644.8000000000011</v>
      </c>
      <c r="F7" s="145" t="s">
        <v>320</v>
      </c>
      <c r="G7" s="148"/>
    </row>
    <row r="8" spans="1:43" ht="16.5" customHeight="1" x14ac:dyDescent="0.2">
      <c r="A8" s="3" t="s">
        <v>321</v>
      </c>
      <c r="B8" s="4" t="s">
        <v>28</v>
      </c>
      <c r="C8" s="5" t="s">
        <v>29</v>
      </c>
      <c r="D8" s="6">
        <v>8292</v>
      </c>
      <c r="E8" s="140">
        <f t="shared" si="0"/>
        <v>11360.04</v>
      </c>
      <c r="F8" s="145" t="s">
        <v>322</v>
      </c>
      <c r="G8" s="148"/>
    </row>
    <row r="9" spans="1:43" ht="16.5" customHeight="1" x14ac:dyDescent="0.2">
      <c r="A9" s="3" t="s">
        <v>323</v>
      </c>
      <c r="B9" s="4" t="s">
        <v>31</v>
      </c>
      <c r="C9" s="5" t="s">
        <v>29</v>
      </c>
      <c r="D9" s="6">
        <v>8292</v>
      </c>
      <c r="E9" s="140">
        <f t="shared" si="0"/>
        <v>11360.04</v>
      </c>
      <c r="F9" s="145" t="s">
        <v>324</v>
      </c>
      <c r="G9" s="148"/>
    </row>
    <row r="10" spans="1:43" ht="16.5" customHeight="1" x14ac:dyDescent="0.2">
      <c r="A10" s="3" t="s">
        <v>325</v>
      </c>
      <c r="B10" s="4" t="s">
        <v>28</v>
      </c>
      <c r="C10" s="5" t="s">
        <v>33</v>
      </c>
      <c r="D10" s="6">
        <v>7653</v>
      </c>
      <c r="E10" s="140">
        <f t="shared" si="0"/>
        <v>10484.61</v>
      </c>
      <c r="F10" s="145" t="s">
        <v>326</v>
      </c>
      <c r="G10" s="148"/>
    </row>
    <row r="11" spans="1:43" ht="16.5" customHeight="1" x14ac:dyDescent="0.2">
      <c r="A11" s="3" t="s">
        <v>327</v>
      </c>
      <c r="B11" s="4" t="s">
        <v>31</v>
      </c>
      <c r="C11" s="5" t="s">
        <v>33</v>
      </c>
      <c r="D11" s="6">
        <v>7653</v>
      </c>
      <c r="E11" s="140">
        <f t="shared" si="0"/>
        <v>10484.61</v>
      </c>
      <c r="F11" s="145" t="s">
        <v>328</v>
      </c>
      <c r="G11" s="148"/>
    </row>
    <row r="12" spans="1:43" ht="16.5" customHeight="1" x14ac:dyDescent="0.2">
      <c r="A12" s="3" t="s">
        <v>329</v>
      </c>
      <c r="B12" s="4" t="s">
        <v>28</v>
      </c>
      <c r="C12" s="5" t="s">
        <v>36</v>
      </c>
      <c r="D12" s="6">
        <v>10172</v>
      </c>
      <c r="E12" s="140">
        <f t="shared" si="0"/>
        <v>13935.640000000001</v>
      </c>
      <c r="F12" s="145" t="s">
        <v>330</v>
      </c>
      <c r="G12" s="148"/>
    </row>
    <row r="13" spans="1:43" ht="16.5" customHeight="1" x14ac:dyDescent="0.2">
      <c r="A13" s="3" t="s">
        <v>331</v>
      </c>
      <c r="B13" s="4" t="s">
        <v>31</v>
      </c>
      <c r="C13" s="5" t="s">
        <v>36</v>
      </c>
      <c r="D13" s="6">
        <v>10172</v>
      </c>
      <c r="E13" s="140">
        <f t="shared" si="0"/>
        <v>13935.640000000001</v>
      </c>
      <c r="F13" s="145" t="s">
        <v>332</v>
      </c>
      <c r="G13" s="148"/>
    </row>
    <row r="14" spans="1:43" ht="16.5" customHeight="1" x14ac:dyDescent="0.2">
      <c r="A14" s="3" t="s">
        <v>333</v>
      </c>
      <c r="B14" s="4" t="s">
        <v>28</v>
      </c>
      <c r="C14" s="5" t="s">
        <v>39</v>
      </c>
      <c r="D14" s="6">
        <v>10730</v>
      </c>
      <c r="E14" s="140">
        <f t="shared" si="0"/>
        <v>14700.1</v>
      </c>
      <c r="F14" s="145" t="s">
        <v>334</v>
      </c>
      <c r="G14" s="148"/>
      <c r="AA14" s="145"/>
      <c r="AB14" s="145"/>
      <c r="AC14" s="145"/>
      <c r="AD14" s="145"/>
      <c r="AE14" s="145"/>
      <c r="AF14" s="145"/>
    </row>
    <row r="15" spans="1:43" ht="16.5" customHeight="1" x14ac:dyDescent="0.2">
      <c r="A15" s="3" t="s">
        <v>335</v>
      </c>
      <c r="B15" s="4" t="s">
        <v>31</v>
      </c>
      <c r="C15" s="5" t="s">
        <v>39</v>
      </c>
      <c r="D15" s="6">
        <v>10730</v>
      </c>
      <c r="E15" s="140">
        <f t="shared" si="0"/>
        <v>14700.1</v>
      </c>
      <c r="F15" s="145" t="s">
        <v>336</v>
      </c>
      <c r="G15" s="148"/>
      <c r="AA15" s="145"/>
      <c r="AB15" s="145"/>
      <c r="AC15" s="145"/>
      <c r="AD15" s="145"/>
      <c r="AE15" s="145"/>
      <c r="AF15" s="145"/>
    </row>
    <row r="16" spans="1:43" ht="17.45" customHeight="1" x14ac:dyDescent="0.2">
      <c r="A16" s="3" t="s">
        <v>41</v>
      </c>
      <c r="B16" s="4" t="s">
        <v>42</v>
      </c>
      <c r="C16" s="5" t="s">
        <v>43</v>
      </c>
      <c r="D16" s="6">
        <v>8222</v>
      </c>
      <c r="E16" s="140">
        <f t="shared" si="0"/>
        <v>11264.140000000001</v>
      </c>
      <c r="F16" s="145" t="s">
        <v>337</v>
      </c>
      <c r="G16" s="148"/>
      <c r="U16" s="145"/>
      <c r="V16" s="145"/>
      <c r="W16" s="145"/>
      <c r="X16" s="145"/>
      <c r="Y16" s="145"/>
      <c r="AA16" s="145"/>
      <c r="AB16" s="145"/>
      <c r="AC16" s="145"/>
      <c r="AD16" s="145"/>
      <c r="AE16" s="145"/>
      <c r="AF16" s="145"/>
    </row>
    <row r="17" spans="1:38" ht="16.5" customHeight="1" x14ac:dyDescent="0.2">
      <c r="A17" s="7" t="s">
        <v>48</v>
      </c>
      <c r="B17" s="4" t="s">
        <v>49</v>
      </c>
      <c r="C17" s="8" t="s">
        <v>50</v>
      </c>
      <c r="D17" s="6">
        <v>6383</v>
      </c>
      <c r="E17" s="140">
        <f t="shared" si="0"/>
        <v>8744.7100000000009</v>
      </c>
      <c r="F17" s="145" t="s">
        <v>338</v>
      </c>
      <c r="G17" s="148"/>
      <c r="I17" s="20" t="str">
        <f>A153</f>
        <v>Л.ТМ-3F</v>
      </c>
      <c r="J17" s="20" t="str">
        <f>B153</f>
        <v>Тумба подкатная 3 ящ. без фолдинга</v>
      </c>
      <c r="K17" s="20" t="str">
        <f>C153</f>
        <v>420*450*563</v>
      </c>
      <c r="L17" s="20">
        <v>1</v>
      </c>
      <c r="M17" s="20">
        <f>D153</f>
        <v>5463</v>
      </c>
      <c r="O17" s="20" t="str">
        <f>A154</f>
        <v>Ф1248</v>
      </c>
      <c r="P17" s="20" t="str">
        <f>B154</f>
        <v xml:space="preserve"> Комплект Фолдинг Ф1248 (на 3 ящика)</v>
      </c>
      <c r="Q17" s="20" t="str">
        <f>C154</f>
        <v>400*347*100</v>
      </c>
      <c r="R17" s="20">
        <v>1</v>
      </c>
      <c r="S17" s="20">
        <f>D154</f>
        <v>920</v>
      </c>
      <c r="U17" s="145"/>
      <c r="V17" s="145"/>
      <c r="W17" s="145"/>
      <c r="X17" s="145"/>
      <c r="Y17" s="145"/>
      <c r="AA17" s="145"/>
      <c r="AB17" s="145"/>
      <c r="AC17" s="145"/>
      <c r="AD17" s="145"/>
      <c r="AE17" s="145"/>
      <c r="AF17" s="145"/>
    </row>
    <row r="18" spans="1:38" ht="16.5" customHeight="1" x14ac:dyDescent="0.2">
      <c r="A18" s="7" t="s">
        <v>51</v>
      </c>
      <c r="B18" s="4" t="s">
        <v>52</v>
      </c>
      <c r="C18" s="8" t="s">
        <v>53</v>
      </c>
      <c r="D18" s="6">
        <v>7502</v>
      </c>
      <c r="E18" s="140">
        <f t="shared" si="0"/>
        <v>10277.740000000002</v>
      </c>
      <c r="F18" s="145" t="s">
        <v>339</v>
      </c>
      <c r="G18" s="148"/>
      <c r="I18" s="20" t="str">
        <f>A155</f>
        <v>Л.ТМ-4F</v>
      </c>
      <c r="J18" s="20" t="str">
        <f>B155</f>
        <v>Тумба подкатная 4 ящ. без фолдинга</v>
      </c>
      <c r="K18" s="20" t="str">
        <f>C155</f>
        <v>420*450*714</v>
      </c>
      <c r="L18" s="20">
        <v>1</v>
      </c>
      <c r="M18" s="20">
        <f>D155</f>
        <v>6319</v>
      </c>
      <c r="O18" s="20" t="str">
        <f>A156</f>
        <v>Ф1249</v>
      </c>
      <c r="P18" s="20" t="str">
        <f>B156</f>
        <v xml:space="preserve"> Комплект Фолдинг Ф1249 (на 4 ящика)</v>
      </c>
      <c r="Q18" s="20" t="str">
        <f>C156</f>
        <v>400*347*100</v>
      </c>
      <c r="R18" s="20">
        <v>1</v>
      </c>
      <c r="S18" s="20">
        <f>D156</f>
        <v>1183</v>
      </c>
      <c r="U18" s="145"/>
      <c r="V18" s="145"/>
      <c r="W18" s="145"/>
      <c r="X18" s="145"/>
      <c r="Y18" s="145"/>
      <c r="AA18" s="145"/>
      <c r="AB18" s="145"/>
      <c r="AC18" s="145"/>
      <c r="AD18" s="145"/>
      <c r="AE18" s="145"/>
      <c r="AF18" s="145"/>
    </row>
    <row r="19" spans="1:38" ht="16.5" customHeight="1" x14ac:dyDescent="0.2">
      <c r="A19" s="7" t="s">
        <v>54</v>
      </c>
      <c r="B19" s="4" t="s">
        <v>55</v>
      </c>
      <c r="C19" s="8" t="s">
        <v>56</v>
      </c>
      <c r="D19" s="6">
        <v>8999</v>
      </c>
      <c r="E19" s="140">
        <f t="shared" si="0"/>
        <v>12328.630000000001</v>
      </c>
      <c r="F19" s="145" t="s">
        <v>340</v>
      </c>
      <c r="G19" s="148"/>
      <c r="I19" s="20" t="str">
        <f t="shared" ref="I19:K21" si="1">A157</f>
        <v>Л.ТП-4F</v>
      </c>
      <c r="J19" s="20" t="str">
        <f t="shared" si="1"/>
        <v>Тумба приставная без фолдинга</v>
      </c>
      <c r="K19" s="20" t="str">
        <f t="shared" si="1"/>
        <v>420*450*750</v>
      </c>
      <c r="L19" s="20">
        <v>1</v>
      </c>
      <c r="M19" s="20">
        <f>D157</f>
        <v>8079</v>
      </c>
      <c r="O19" s="20" t="str">
        <f>A154</f>
        <v>Ф1248</v>
      </c>
      <c r="P19" s="20" t="str">
        <f>B154</f>
        <v xml:space="preserve"> Комплект Фолдинг Ф1248 (на 3 ящика)</v>
      </c>
      <c r="Q19" s="20" t="str">
        <f>C154</f>
        <v>400*347*100</v>
      </c>
      <c r="R19" s="20">
        <v>1</v>
      </c>
      <c r="S19" s="20">
        <f>D154</f>
        <v>920</v>
      </c>
      <c r="U19" s="145"/>
      <c r="V19" s="145"/>
      <c r="W19" s="145"/>
      <c r="X19" s="145"/>
      <c r="Y19" s="145"/>
      <c r="AA19" s="145"/>
      <c r="AB19" s="145"/>
      <c r="AC19" s="145"/>
      <c r="AD19" s="145"/>
      <c r="AE19" s="145"/>
      <c r="AF19" s="145"/>
    </row>
    <row r="20" spans="1:38" ht="16.5" customHeight="1" x14ac:dyDescent="0.2">
      <c r="A20" s="7" t="s">
        <v>57</v>
      </c>
      <c r="B20" s="4" t="s">
        <v>55</v>
      </c>
      <c r="C20" s="8" t="s">
        <v>58</v>
      </c>
      <c r="D20" s="6">
        <v>9877</v>
      </c>
      <c r="E20" s="140">
        <f t="shared" si="0"/>
        <v>13531.490000000002</v>
      </c>
      <c r="F20" s="145" t="s">
        <v>341</v>
      </c>
      <c r="G20" s="148"/>
      <c r="I20" s="20" t="str">
        <f t="shared" si="1"/>
        <v>Л.ТП-4.1F</v>
      </c>
      <c r="J20" s="20" t="str">
        <f t="shared" si="1"/>
        <v>Тумба приставная без фолдинга</v>
      </c>
      <c r="K20" s="20" t="str">
        <f t="shared" si="1"/>
        <v>420*600*750</v>
      </c>
      <c r="L20" s="20">
        <v>1</v>
      </c>
      <c r="M20" s="20">
        <f>D158</f>
        <v>8957</v>
      </c>
      <c r="O20" s="20" t="str">
        <f>A154</f>
        <v>Ф1248</v>
      </c>
      <c r="P20" s="20" t="str">
        <f>B154</f>
        <v xml:space="preserve"> Комплект Фолдинг Ф1248 (на 3 ящика)</v>
      </c>
      <c r="Q20" s="20" t="str">
        <f>C154</f>
        <v>400*347*100</v>
      </c>
      <c r="R20" s="20">
        <v>1</v>
      </c>
      <c r="S20" s="20">
        <f>D154</f>
        <v>920</v>
      </c>
      <c r="U20" s="145"/>
      <c r="V20" s="145"/>
      <c r="W20" s="145"/>
      <c r="X20" s="145"/>
      <c r="Y20" s="145"/>
      <c r="AA20" s="145"/>
      <c r="AB20" s="145"/>
      <c r="AC20" s="145"/>
      <c r="AD20" s="145"/>
      <c r="AE20" s="145"/>
      <c r="AF20" s="145"/>
    </row>
    <row r="21" spans="1:38" ht="16.5" customHeight="1" x14ac:dyDescent="0.2">
      <c r="A21" s="2" t="s">
        <v>59</v>
      </c>
      <c r="B21" s="4" t="s">
        <v>55</v>
      </c>
      <c r="C21" s="9" t="s">
        <v>60</v>
      </c>
      <c r="D21" s="6">
        <v>9929</v>
      </c>
      <c r="E21" s="140">
        <f t="shared" si="0"/>
        <v>13602.730000000001</v>
      </c>
      <c r="F21" s="145" t="s">
        <v>342</v>
      </c>
      <c r="G21" s="148"/>
      <c r="I21" s="20" t="str">
        <f t="shared" si="1"/>
        <v>Л.ТП-4.2F</v>
      </c>
      <c r="J21" s="20" t="str">
        <f t="shared" si="1"/>
        <v>Тумба приставная без фолдинга</v>
      </c>
      <c r="K21" s="20" t="str">
        <f t="shared" si="1"/>
        <v>420*720*750</v>
      </c>
      <c r="L21" s="20">
        <v>1</v>
      </c>
      <c r="M21" s="20">
        <f>D159</f>
        <v>9009</v>
      </c>
      <c r="O21" s="20" t="str">
        <f>A154</f>
        <v>Ф1248</v>
      </c>
      <c r="P21" s="20" t="str">
        <f>B154</f>
        <v xml:space="preserve"> Комплект Фолдинг Ф1248 (на 3 ящика)</v>
      </c>
      <c r="Q21" s="20" t="str">
        <f>C154</f>
        <v>400*347*100</v>
      </c>
      <c r="R21" s="20">
        <v>1</v>
      </c>
      <c r="S21" s="20">
        <f>D154</f>
        <v>920</v>
      </c>
      <c r="U21" s="145"/>
      <c r="V21" s="145"/>
      <c r="W21" s="145"/>
      <c r="X21" s="145"/>
      <c r="Y21" s="145"/>
      <c r="AA21" s="145"/>
      <c r="AB21" s="145"/>
      <c r="AC21" s="145"/>
      <c r="AD21" s="145"/>
      <c r="AE21" s="145"/>
      <c r="AF21" s="145"/>
    </row>
    <row r="22" spans="1:38" ht="16.5" customHeight="1" x14ac:dyDescent="0.2">
      <c r="A22" s="7" t="s">
        <v>61</v>
      </c>
      <c r="B22" s="4" t="s">
        <v>62</v>
      </c>
      <c r="C22" s="8" t="s">
        <v>63</v>
      </c>
      <c r="D22" s="6">
        <v>7479</v>
      </c>
      <c r="E22" s="140">
        <f t="shared" si="0"/>
        <v>10246.230000000001</v>
      </c>
      <c r="F22" s="145" t="s">
        <v>343</v>
      </c>
      <c r="G22" s="148"/>
      <c r="U22" s="145"/>
      <c r="V22" s="145"/>
      <c r="W22" s="145"/>
      <c r="X22" s="145"/>
      <c r="Y22" s="145"/>
      <c r="AA22" s="145"/>
      <c r="AB22" s="145"/>
      <c r="AC22" s="145"/>
      <c r="AD22" s="145"/>
      <c r="AE22" s="145"/>
      <c r="AF22" s="145"/>
    </row>
    <row r="23" spans="1:38" ht="16.5" customHeight="1" x14ac:dyDescent="0.2">
      <c r="A23" s="7" t="s">
        <v>66</v>
      </c>
      <c r="B23" s="4" t="s">
        <v>67</v>
      </c>
      <c r="C23" s="8" t="s">
        <v>68</v>
      </c>
      <c r="D23" s="6">
        <v>8199</v>
      </c>
      <c r="E23" s="140">
        <f t="shared" si="0"/>
        <v>11232.630000000001</v>
      </c>
      <c r="F23" s="149" t="s">
        <v>344</v>
      </c>
      <c r="G23" s="148"/>
      <c r="U23" s="145"/>
      <c r="V23" s="145"/>
      <c r="W23" s="145"/>
      <c r="X23" s="145"/>
      <c r="Y23" s="145"/>
      <c r="AA23" s="145"/>
      <c r="AB23" s="145"/>
      <c r="AC23" s="145"/>
      <c r="AD23" s="145"/>
      <c r="AE23" s="145"/>
      <c r="AF23" s="145"/>
    </row>
    <row r="24" spans="1:38" ht="16.5" customHeight="1" x14ac:dyDescent="0.2">
      <c r="A24" s="7" t="s">
        <v>69</v>
      </c>
      <c r="B24" s="4" t="s">
        <v>70</v>
      </c>
      <c r="C24" s="8" t="s">
        <v>71</v>
      </c>
      <c r="D24" s="6">
        <v>6002</v>
      </c>
      <c r="E24" s="140">
        <f t="shared" si="0"/>
        <v>8222.74</v>
      </c>
      <c r="F24" s="145" t="s">
        <v>345</v>
      </c>
      <c r="G24" s="148"/>
    </row>
    <row r="25" spans="1:38" ht="16.5" customHeight="1" x14ac:dyDescent="0.2">
      <c r="A25" s="7" t="s">
        <v>72</v>
      </c>
      <c r="B25" s="4" t="s">
        <v>73</v>
      </c>
      <c r="C25" s="8" t="s">
        <v>74</v>
      </c>
      <c r="D25" s="6">
        <v>4530</v>
      </c>
      <c r="E25" s="140">
        <f t="shared" si="0"/>
        <v>6206.1</v>
      </c>
      <c r="F25" s="145" t="s">
        <v>346</v>
      </c>
      <c r="G25" s="148"/>
    </row>
    <row r="26" spans="1:38" ht="16.5" customHeight="1" x14ac:dyDescent="0.2">
      <c r="A26" s="7" t="s">
        <v>75</v>
      </c>
      <c r="B26" s="4" t="s">
        <v>76</v>
      </c>
      <c r="C26" s="8" t="s">
        <v>77</v>
      </c>
      <c r="D26" s="6">
        <v>6677</v>
      </c>
      <c r="E26" s="140">
        <f t="shared" si="0"/>
        <v>9147.4900000000016</v>
      </c>
      <c r="F26" s="145" t="s">
        <v>347</v>
      </c>
      <c r="G26" s="148"/>
    </row>
    <row r="27" spans="1:38" ht="16.5" customHeight="1" x14ac:dyDescent="0.2">
      <c r="A27" s="7" t="s">
        <v>78</v>
      </c>
      <c r="B27" s="4" t="s">
        <v>79</v>
      </c>
      <c r="C27" s="8" t="s">
        <v>80</v>
      </c>
      <c r="D27" s="6">
        <v>4439</v>
      </c>
      <c r="E27" s="140">
        <f t="shared" si="0"/>
        <v>6081.43</v>
      </c>
      <c r="F27" s="145" t="s">
        <v>348</v>
      </c>
      <c r="G27" s="148"/>
    </row>
    <row r="28" spans="1:38" ht="16.5" customHeight="1" x14ac:dyDescent="0.2">
      <c r="A28" s="7" t="s">
        <v>81</v>
      </c>
      <c r="B28" s="4" t="s">
        <v>82</v>
      </c>
      <c r="C28" s="8" t="s">
        <v>83</v>
      </c>
      <c r="D28" s="6">
        <v>3232</v>
      </c>
      <c r="E28" s="140">
        <f t="shared" si="0"/>
        <v>4427.84</v>
      </c>
      <c r="F28" s="145" t="s">
        <v>349</v>
      </c>
      <c r="G28" s="148"/>
    </row>
    <row r="29" spans="1:38" ht="16.5" customHeight="1" x14ac:dyDescent="0.2">
      <c r="A29" s="7" t="s">
        <v>84</v>
      </c>
      <c r="B29" s="4" t="s">
        <v>350</v>
      </c>
      <c r="C29" s="8" t="s">
        <v>86</v>
      </c>
      <c r="D29" s="6">
        <v>8972</v>
      </c>
      <c r="E29" s="140">
        <f t="shared" si="0"/>
        <v>12291.640000000001</v>
      </c>
      <c r="F29" s="149" t="s">
        <v>351</v>
      </c>
      <c r="G29" s="148"/>
    </row>
    <row r="30" spans="1:38" ht="16.5" customHeight="1" x14ac:dyDescent="0.2">
      <c r="A30" s="7" t="s">
        <v>87</v>
      </c>
      <c r="B30" s="4" t="s">
        <v>352</v>
      </c>
      <c r="C30" s="8" t="s">
        <v>89</v>
      </c>
      <c r="D30" s="6">
        <v>13608</v>
      </c>
      <c r="E30" s="140">
        <f t="shared" si="0"/>
        <v>18642.960000000003</v>
      </c>
      <c r="F30" s="145" t="s">
        <v>353</v>
      </c>
      <c r="G30" s="148"/>
      <c r="I30" s="150" t="str">
        <f t="shared" ref="I30:K31" si="2">A111</f>
        <v>Л.ГБ-2К</v>
      </c>
      <c r="J30" s="150" t="str">
        <f t="shared" si="2"/>
        <v>Каркас гардероба Л.ГБ-2</v>
      </c>
      <c r="K30" s="150" t="str">
        <f t="shared" si="2"/>
        <v>778*580*1980</v>
      </c>
      <c r="L30" s="20">
        <v>1</v>
      </c>
      <c r="M30" s="20">
        <f>D111</f>
        <v>9132</v>
      </c>
      <c r="O30" s="150" t="str">
        <f>A113</f>
        <v>Л.Д-1 (L)</v>
      </c>
      <c r="P30" s="150" t="str">
        <f>B113</f>
        <v>Дверь высокая ЛДСП левая/правая (для Л.ГБ-2, Л.СТ-1, Л.СУ-1 и Л.ГБ-4)</v>
      </c>
      <c r="Q30" s="150" t="str">
        <f>C113</f>
        <v>361*1916x18</v>
      </c>
      <c r="R30" s="20">
        <v>1</v>
      </c>
      <c r="S30" s="20">
        <f>D113</f>
        <v>2238</v>
      </c>
      <c r="U30" s="150" t="str">
        <f>A114</f>
        <v xml:space="preserve">Л.Д-1 (R) </v>
      </c>
      <c r="V30" s="150" t="str">
        <f>B114</f>
        <v>Дверь высокая ЛДСП левая/правая (для Л.ГБ-2, Л.СТ-1, Л.СУ-1 и Л.ГБ-4)</v>
      </c>
      <c r="W30" s="150" t="str">
        <f>C114</f>
        <v>361*1916x18</v>
      </c>
      <c r="X30" s="20">
        <v>1</v>
      </c>
      <c r="Y30" s="20">
        <f>D114</f>
        <v>2238</v>
      </c>
    </row>
    <row r="31" spans="1:38" ht="16.5" customHeight="1" x14ac:dyDescent="0.2">
      <c r="A31" s="7" t="s">
        <v>90</v>
      </c>
      <c r="B31" s="4" t="s">
        <v>91</v>
      </c>
      <c r="C31" s="8" t="s">
        <v>68</v>
      </c>
      <c r="D31" s="6">
        <v>15737</v>
      </c>
      <c r="E31" s="140">
        <f t="shared" si="0"/>
        <v>21559.690000000002</v>
      </c>
      <c r="F31" s="145" t="s">
        <v>354</v>
      </c>
      <c r="G31" s="148"/>
      <c r="I31" s="150" t="str">
        <f t="shared" si="2"/>
        <v>Л.ГБ-4К</v>
      </c>
      <c r="J31" s="150" t="str">
        <f t="shared" si="2"/>
        <v>Каркас гардероба Л.ГБ-4К</v>
      </c>
      <c r="K31" s="150" t="str">
        <f t="shared" si="2"/>
        <v>778*410*1980</v>
      </c>
      <c r="L31" s="20">
        <v>1</v>
      </c>
      <c r="M31" s="20">
        <f>D112</f>
        <v>11261</v>
      </c>
      <c r="O31" s="150" t="str">
        <f>A113</f>
        <v>Л.Д-1 (L)</v>
      </c>
      <c r="P31" s="150" t="str">
        <f>B113</f>
        <v>Дверь высокая ЛДСП левая/правая (для Л.ГБ-2, Л.СТ-1, Л.СУ-1 и Л.ГБ-4)</v>
      </c>
      <c r="Q31" s="150" t="str">
        <f>C113</f>
        <v>361*1916x18</v>
      </c>
      <c r="R31" s="20">
        <v>1</v>
      </c>
      <c r="S31" s="20">
        <f>D113</f>
        <v>2238</v>
      </c>
      <c r="U31" s="150" t="str">
        <f>A114</f>
        <v xml:space="preserve">Л.Д-1 (R) </v>
      </c>
      <c r="V31" s="150" t="str">
        <f>B114</f>
        <v>Дверь высокая ЛДСП левая/правая (для Л.ГБ-2, Л.СТ-1, Л.СУ-1 и Л.ГБ-4)</v>
      </c>
      <c r="W31" s="150" t="str">
        <f>C114</f>
        <v>361*1916x18</v>
      </c>
      <c r="X31" s="20">
        <v>1</v>
      </c>
      <c r="Y31" s="20">
        <f>D114</f>
        <v>2238</v>
      </c>
    </row>
    <row r="32" spans="1:38" ht="16.5" customHeight="1" x14ac:dyDescent="0.2">
      <c r="A32" s="7" t="s">
        <v>92</v>
      </c>
      <c r="B32" s="4" t="s">
        <v>93</v>
      </c>
      <c r="C32" s="8" t="s">
        <v>68</v>
      </c>
      <c r="D32" s="6">
        <v>10713</v>
      </c>
      <c r="E32" s="140">
        <f t="shared" si="0"/>
        <v>14676.810000000001</v>
      </c>
      <c r="F32" s="145" t="s">
        <v>355</v>
      </c>
      <c r="G32" s="148"/>
      <c r="I32" s="150" t="str">
        <f>A23</f>
        <v>Л.СТ-1</v>
      </c>
      <c r="J32" s="150" t="str">
        <f>B23</f>
        <v>Стеллаж высокий широкий</v>
      </c>
      <c r="K32" s="150" t="str">
        <f>C23</f>
        <v>778*410*1980</v>
      </c>
      <c r="L32" s="20">
        <v>1</v>
      </c>
      <c r="M32" s="20">
        <f>D23</f>
        <v>8199</v>
      </c>
      <c r="O32" s="150" t="str">
        <f>A117</f>
        <v>Л.Д-3 (L)</v>
      </c>
      <c r="P32" s="150" t="str">
        <f>B117</f>
        <v>Дверь низкая ЛДСП (для Л.СТ-1, Л.СУ-1, Л.СТ-2, Л.СТ-3, Л.СУ-2, Л.СУ-3)</v>
      </c>
      <c r="Q32" s="150" t="str">
        <f>C117</f>
        <v>361*764x18</v>
      </c>
      <c r="R32" s="20">
        <v>1</v>
      </c>
      <c r="S32" s="20">
        <f>D117</f>
        <v>1257</v>
      </c>
      <c r="U32" s="150" t="str">
        <f>A118</f>
        <v xml:space="preserve">Л.Д-3 (R) </v>
      </c>
      <c r="V32" s="150" t="str">
        <f>B118</f>
        <v>Дверь низкая ЛДСП (для Л.СТ-1, Л.СУ-1, Л.СТ-2, Л.СТ-3, Л.СУ-2, Л.СУ-3)</v>
      </c>
      <c r="W32" s="150" t="str">
        <f>C118</f>
        <v>361*764x18</v>
      </c>
      <c r="X32" s="20">
        <v>1</v>
      </c>
      <c r="Y32" s="20">
        <f>D118</f>
        <v>1257</v>
      </c>
      <c r="AF32" s="145"/>
      <c r="AG32" s="145"/>
      <c r="AH32" s="145"/>
      <c r="AI32" s="145"/>
      <c r="AJ32" s="145"/>
      <c r="AK32" s="145"/>
      <c r="AL32" s="145"/>
    </row>
    <row r="33" spans="1:43" ht="16.5" customHeight="1" x14ac:dyDescent="0.2">
      <c r="A33" s="7" t="s">
        <v>94</v>
      </c>
      <c r="B33" s="4" t="s">
        <v>95</v>
      </c>
      <c r="C33" s="8" t="s">
        <v>68</v>
      </c>
      <c r="D33" s="6">
        <v>15483</v>
      </c>
      <c r="E33" s="140">
        <f t="shared" si="0"/>
        <v>21211.710000000003</v>
      </c>
      <c r="F33" s="145" t="s">
        <v>356</v>
      </c>
      <c r="G33" s="148"/>
      <c r="I33" s="150" t="str">
        <f>A23</f>
        <v>Л.СТ-1</v>
      </c>
      <c r="J33" s="150" t="str">
        <f>B23</f>
        <v>Стеллаж высокий широкий</v>
      </c>
      <c r="K33" s="150" t="str">
        <f>C23</f>
        <v>778*410*1980</v>
      </c>
      <c r="L33" s="20">
        <v>1</v>
      </c>
      <c r="M33" s="20">
        <f>D23</f>
        <v>8199</v>
      </c>
      <c r="O33" s="150" t="str">
        <f>A117</f>
        <v>Л.Д-3 (L)</v>
      </c>
      <c r="P33" s="150" t="str">
        <f>B117</f>
        <v>Дверь низкая ЛДСП (для Л.СТ-1, Л.СУ-1, Л.СТ-2, Л.СТ-3, Л.СУ-2, Л.СУ-3)</v>
      </c>
      <c r="Q33" s="150" t="str">
        <f>C117</f>
        <v>361*764x18</v>
      </c>
      <c r="R33" s="20">
        <v>1</v>
      </c>
      <c r="S33" s="20">
        <f>D117</f>
        <v>1257</v>
      </c>
      <c r="U33" s="150" t="str">
        <f>A118</f>
        <v xml:space="preserve">Л.Д-3 (R) </v>
      </c>
      <c r="V33" s="150" t="str">
        <f>B118</f>
        <v>Дверь низкая ЛДСП (для Л.СТ-1, Л.СУ-1, Л.СТ-2, Л.СТ-3, Л.СУ-2, Л.СУ-3)</v>
      </c>
      <c r="W33" s="150" t="str">
        <f>C118</f>
        <v>361*764x18</v>
      </c>
      <c r="X33" s="150">
        <v>1</v>
      </c>
      <c r="Y33" s="150">
        <f>D118</f>
        <v>1257</v>
      </c>
      <c r="AA33" s="150" t="str">
        <f>A119</f>
        <v>Л.С-2 (L)</v>
      </c>
      <c r="AB33" s="150" t="str">
        <f>B119</f>
        <v>Дверь средняя стекло (для Л.СТ-1, Л.СУ-1, Л.СТ-2, Л.СУ-2)</v>
      </c>
      <c r="AC33" s="150" t="str">
        <f>C119</f>
        <v>361*1151x4</v>
      </c>
      <c r="AD33" s="20">
        <v>1</v>
      </c>
      <c r="AE33" s="20">
        <f>D119</f>
        <v>1780</v>
      </c>
      <c r="AF33" s="145"/>
      <c r="AG33" s="150" t="str">
        <f>A120</f>
        <v xml:space="preserve">Л.С-2  (R) </v>
      </c>
      <c r="AH33" s="150" t="str">
        <f>B120</f>
        <v>Дверь средняя стекло (для Л.СТ-1, Л.СУ-1, Л.СТ-2, Л.СУ-2)</v>
      </c>
      <c r="AI33" s="150" t="str">
        <f>C120</f>
        <v>361*1151x4</v>
      </c>
      <c r="AJ33" s="20">
        <v>1</v>
      </c>
      <c r="AK33" s="20">
        <f>D120</f>
        <v>1780</v>
      </c>
      <c r="AL33" s="145"/>
      <c r="AM33" s="150" t="str">
        <f>A123</f>
        <v>Для Л.С-2</v>
      </c>
      <c r="AN33" s="150" t="str">
        <f>B123</f>
        <v>Комплект фурнитуры для одного стекла</v>
      </c>
      <c r="AO33" s="20"/>
      <c r="AP33" s="20">
        <v>2</v>
      </c>
      <c r="AQ33" s="20">
        <f>D123</f>
        <v>605</v>
      </c>
    </row>
    <row r="34" spans="1:43" ht="16.5" customHeight="1" x14ac:dyDescent="0.2">
      <c r="A34" s="7" t="s">
        <v>96</v>
      </c>
      <c r="B34" s="4" t="s">
        <v>97</v>
      </c>
      <c r="C34" s="8" t="s">
        <v>68</v>
      </c>
      <c r="D34" s="6">
        <v>13751</v>
      </c>
      <c r="E34" s="140">
        <f t="shared" si="0"/>
        <v>18838.870000000003</v>
      </c>
      <c r="F34" s="145" t="s">
        <v>357</v>
      </c>
      <c r="G34" s="148"/>
      <c r="I34" s="150" t="str">
        <f>A23</f>
        <v>Л.СТ-1</v>
      </c>
      <c r="J34" s="150" t="str">
        <f>B23</f>
        <v>Стеллаж высокий широкий</v>
      </c>
      <c r="K34" s="150" t="str">
        <f>C23</f>
        <v>778*410*1980</v>
      </c>
      <c r="L34" s="20">
        <v>1</v>
      </c>
      <c r="M34" s="20">
        <f>D23</f>
        <v>8199</v>
      </c>
      <c r="O34" s="150" t="str">
        <f>A115</f>
        <v>Л.Д-2 (L)</v>
      </c>
      <c r="P34" s="150" t="str">
        <f>B115</f>
        <v>Дверь средняя ЛДСП (для Л.СТ-1, Л.СУ-1, Л.СТ-2, Л.СУ-2)</v>
      </c>
      <c r="Q34" s="150" t="str">
        <f>C115</f>
        <v>361*1151x18</v>
      </c>
      <c r="R34" s="20">
        <v>1</v>
      </c>
      <c r="S34" s="20">
        <f>D115</f>
        <v>1519</v>
      </c>
      <c r="U34" s="150" t="str">
        <f>A116</f>
        <v xml:space="preserve">Л.Д-2 (R) </v>
      </c>
      <c r="V34" s="150" t="str">
        <f>B116</f>
        <v>Дверь средняя ЛДСП (для Л.СТ-1, Л.СУ-1, Л.СТ-2, Л.СУ-2)</v>
      </c>
      <c r="W34" s="150" t="str">
        <f>C116</f>
        <v>361*1151x18</v>
      </c>
      <c r="X34" s="20">
        <v>1</v>
      </c>
      <c r="Y34" s="20">
        <f>D116</f>
        <v>1519</v>
      </c>
      <c r="AA34" s="150" t="str">
        <f>A117</f>
        <v>Л.Д-3 (L)</v>
      </c>
      <c r="AB34" s="150" t="str">
        <f>B117</f>
        <v>Дверь низкая ЛДСП (для Л.СТ-1, Л.СУ-1, Л.СТ-2, Л.СТ-3, Л.СУ-2, Л.СУ-3)</v>
      </c>
      <c r="AC34" s="150" t="str">
        <f>C117</f>
        <v>361*764x18</v>
      </c>
      <c r="AD34" s="20">
        <v>1</v>
      </c>
      <c r="AE34" s="20">
        <f>D117</f>
        <v>1257</v>
      </c>
      <c r="AF34" s="145"/>
      <c r="AG34" s="150" t="str">
        <f>A118</f>
        <v xml:space="preserve">Л.Д-3 (R) </v>
      </c>
      <c r="AH34" s="150" t="str">
        <f>B118</f>
        <v>Дверь низкая ЛДСП (для Л.СТ-1, Л.СУ-1, Л.СТ-2, Л.СТ-3, Л.СУ-2, Л.СУ-3)</v>
      </c>
      <c r="AI34" s="150" t="str">
        <f>C118</f>
        <v>361*764x18</v>
      </c>
      <c r="AJ34" s="150">
        <v>1</v>
      </c>
      <c r="AK34" s="150">
        <f>D118</f>
        <v>1257</v>
      </c>
      <c r="AL34" s="145"/>
    </row>
    <row r="35" spans="1:43" ht="16.5" customHeight="1" x14ac:dyDescent="0.2">
      <c r="A35" s="7" t="s">
        <v>98</v>
      </c>
      <c r="B35" s="4" t="s">
        <v>99</v>
      </c>
      <c r="C35" s="8" t="s">
        <v>68</v>
      </c>
      <c r="D35" s="6">
        <v>14823</v>
      </c>
      <c r="E35" s="140">
        <f t="shared" si="0"/>
        <v>20307.510000000002</v>
      </c>
      <c r="F35" s="145" t="s">
        <v>358</v>
      </c>
      <c r="G35" s="148"/>
      <c r="I35" s="150" t="str">
        <f>A23</f>
        <v>Л.СТ-1</v>
      </c>
      <c r="J35" s="150" t="str">
        <f>B23</f>
        <v>Стеллаж высокий широкий</v>
      </c>
      <c r="K35" s="150" t="str">
        <f>C23</f>
        <v>778*410*1980</v>
      </c>
      <c r="L35" s="150">
        <v>1</v>
      </c>
      <c r="M35" s="150">
        <f>D23</f>
        <v>8199</v>
      </c>
      <c r="O35" s="150" t="str">
        <f>A117</f>
        <v>Л.Д-3 (L)</v>
      </c>
      <c r="P35" s="150" t="str">
        <f>B117</f>
        <v>Дверь низкая ЛДСП (для Л.СТ-1, Л.СУ-1, Л.СТ-2, Л.СТ-3, Л.СУ-2, Л.СУ-3)</v>
      </c>
      <c r="Q35" s="150" t="str">
        <f>C117</f>
        <v>361*764x18</v>
      </c>
      <c r="R35" s="150">
        <v>1</v>
      </c>
      <c r="S35" s="150">
        <f>D117</f>
        <v>1257</v>
      </c>
      <c r="U35" s="150" t="str">
        <f>A118</f>
        <v xml:space="preserve">Л.Д-3 (R) </v>
      </c>
      <c r="V35" s="150" t="str">
        <f>B118</f>
        <v>Дверь низкая ЛДСП (для Л.СТ-1, Л.СУ-1, Л.СТ-2, Л.СТ-3, Л.СУ-2, Л.СУ-3)</v>
      </c>
      <c r="W35" s="150" t="str">
        <f>C118</f>
        <v>361*764x18</v>
      </c>
      <c r="X35" s="150">
        <v>1</v>
      </c>
      <c r="Y35" s="150">
        <f>D118</f>
        <v>1257</v>
      </c>
      <c r="AA35" s="150" t="str">
        <f>A121</f>
        <v>Л.С-3 (L)</v>
      </c>
      <c r="AB35" s="150" t="str">
        <f>B121</f>
        <v>Дверь низкая стекло (для Л.СТ-1,  Л.СТ-2,  Л.СТ-3, Л.СУ-1,  Л.СУ-2, Л.СУ-3)</v>
      </c>
      <c r="AC35" s="150" t="str">
        <f>C121</f>
        <v>361*764x4</v>
      </c>
      <c r="AD35" s="150">
        <v>1</v>
      </c>
      <c r="AE35" s="150">
        <f>D121</f>
        <v>1450</v>
      </c>
      <c r="AF35" s="145"/>
      <c r="AG35" s="150" t="str">
        <f>A122</f>
        <v xml:space="preserve">Л.С-3  (R) </v>
      </c>
      <c r="AH35" s="150" t="str">
        <f>B122</f>
        <v>Дверь низкая стекло (для Л.СТ-1,  Л.СТ-2,  Л.СТ-3, Л.СУ-1,  Л.СУ-2, Л.СУ-3)</v>
      </c>
      <c r="AI35" s="150" t="str">
        <f>C122</f>
        <v>361*764x4</v>
      </c>
      <c r="AJ35" s="150">
        <v>1</v>
      </c>
      <c r="AK35" s="150">
        <f>D122</f>
        <v>1450</v>
      </c>
      <c r="AL35" s="145"/>
      <c r="AM35" s="150" t="str">
        <f>A123</f>
        <v>Для Л.С-2</v>
      </c>
      <c r="AN35" s="150" t="str">
        <f>B123</f>
        <v>Комплект фурнитуры для одного стекла</v>
      </c>
      <c r="AO35" s="20"/>
      <c r="AP35" s="20">
        <v>2</v>
      </c>
      <c r="AQ35" s="20">
        <f>D123</f>
        <v>605</v>
      </c>
    </row>
    <row r="36" spans="1:43" ht="16.5" customHeight="1" x14ac:dyDescent="0.2">
      <c r="A36" s="7" t="s">
        <v>100</v>
      </c>
      <c r="B36" s="4" t="s">
        <v>101</v>
      </c>
      <c r="C36" s="8" t="s">
        <v>68</v>
      </c>
      <c r="D36" s="6">
        <v>13227</v>
      </c>
      <c r="E36" s="140">
        <f t="shared" si="0"/>
        <v>18120.990000000002</v>
      </c>
      <c r="F36" s="145" t="s">
        <v>359</v>
      </c>
      <c r="G36" s="148"/>
      <c r="I36" s="150" t="str">
        <f>A23</f>
        <v>Л.СТ-1</v>
      </c>
      <c r="J36" s="150" t="str">
        <f>B23</f>
        <v>Стеллаж высокий широкий</v>
      </c>
      <c r="K36" s="150" t="str">
        <f>C23</f>
        <v>778*410*1980</v>
      </c>
      <c r="L36" s="20">
        <v>1</v>
      </c>
      <c r="M36" s="20">
        <f>D23</f>
        <v>8199</v>
      </c>
      <c r="O36" s="150" t="str">
        <f>A117</f>
        <v>Л.Д-3 (L)</v>
      </c>
      <c r="P36" s="150" t="str">
        <f>B117</f>
        <v>Дверь низкая ЛДСП (для Л.СТ-1, Л.СУ-1, Л.СТ-2, Л.СТ-3, Л.СУ-2, Л.СУ-3)</v>
      </c>
      <c r="Q36" s="150" t="str">
        <f>C117</f>
        <v>361*764x18</v>
      </c>
      <c r="R36" s="20">
        <v>2</v>
      </c>
      <c r="S36" s="20">
        <f>D117</f>
        <v>1257</v>
      </c>
      <c r="U36" s="150" t="str">
        <f>A118</f>
        <v xml:space="preserve">Л.Д-3 (R) </v>
      </c>
      <c r="V36" s="150" t="str">
        <f>B118</f>
        <v>Дверь низкая ЛДСП (для Л.СТ-1, Л.СУ-1, Л.СТ-2, Л.СТ-3, Л.СУ-2, Л.СУ-3)</v>
      </c>
      <c r="W36" s="150" t="str">
        <f>C118</f>
        <v>361*764x18</v>
      </c>
      <c r="X36" s="20">
        <v>2</v>
      </c>
      <c r="Y36" s="20">
        <f>D118</f>
        <v>1257</v>
      </c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</row>
    <row r="37" spans="1:43" ht="16.5" customHeight="1" x14ac:dyDescent="0.2">
      <c r="A37" s="7" t="s">
        <v>102</v>
      </c>
      <c r="B37" s="4" t="s">
        <v>103</v>
      </c>
      <c r="C37" s="8" t="s">
        <v>68</v>
      </c>
      <c r="D37" s="6">
        <v>11237</v>
      </c>
      <c r="E37" s="140">
        <f t="shared" si="0"/>
        <v>15394.69</v>
      </c>
      <c r="F37" s="145" t="s">
        <v>360</v>
      </c>
      <c r="G37" s="148"/>
      <c r="I37" s="150" t="str">
        <f>A23</f>
        <v>Л.СТ-1</v>
      </c>
      <c r="J37" s="150" t="str">
        <f>B23</f>
        <v>Стеллаж высокий широкий</v>
      </c>
      <c r="K37" s="150" t="str">
        <f>C23</f>
        <v>778*410*1980</v>
      </c>
      <c r="L37" s="20">
        <v>1</v>
      </c>
      <c r="M37" s="20">
        <f>D23</f>
        <v>8199</v>
      </c>
      <c r="O37" s="150" t="str">
        <f>A115</f>
        <v>Л.Д-2 (L)</v>
      </c>
      <c r="P37" s="150" t="str">
        <f>B115</f>
        <v>Дверь средняя ЛДСП (для Л.СТ-1, Л.СУ-1, Л.СТ-2, Л.СУ-2)</v>
      </c>
      <c r="Q37" s="150" t="str">
        <f>C115</f>
        <v>361*1151x18</v>
      </c>
      <c r="R37" s="20">
        <v>1</v>
      </c>
      <c r="S37" s="20">
        <f>D115</f>
        <v>1519</v>
      </c>
      <c r="U37" s="150" t="str">
        <f>A116</f>
        <v xml:space="preserve">Л.Д-2 (R) </v>
      </c>
      <c r="V37" s="150" t="str">
        <f>B116</f>
        <v>Дверь средняя ЛДСП (для Л.СТ-1, Л.СУ-1, Л.СТ-2, Л.СУ-2)</v>
      </c>
      <c r="W37" s="150" t="str">
        <f>C116</f>
        <v>361*1151x18</v>
      </c>
      <c r="X37" s="20">
        <v>1</v>
      </c>
      <c r="Y37" s="20">
        <f>D116</f>
        <v>1519</v>
      </c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</row>
    <row r="38" spans="1:43" ht="16.5" customHeight="1" x14ac:dyDescent="0.2">
      <c r="A38" s="7" t="s">
        <v>104</v>
      </c>
      <c r="B38" s="4" t="s">
        <v>105</v>
      </c>
      <c r="C38" s="8" t="s">
        <v>68</v>
      </c>
      <c r="D38" s="6">
        <v>15347</v>
      </c>
      <c r="E38" s="140">
        <f t="shared" si="0"/>
        <v>21025.390000000003</v>
      </c>
      <c r="F38" s="145" t="s">
        <v>361</v>
      </c>
      <c r="G38" s="148"/>
      <c r="I38" s="150" t="str">
        <f>A23</f>
        <v>Л.СТ-1</v>
      </c>
      <c r="J38" s="150" t="str">
        <f>B23</f>
        <v>Стеллаж высокий широкий</v>
      </c>
      <c r="K38" s="150" t="str">
        <f>C23</f>
        <v>778*410*1980</v>
      </c>
      <c r="L38" s="20">
        <v>1</v>
      </c>
      <c r="M38" s="20">
        <f>D23</f>
        <v>8199</v>
      </c>
      <c r="O38" s="150" t="str">
        <f>A115</f>
        <v>Л.Д-2 (L)</v>
      </c>
      <c r="P38" s="150" t="str">
        <f>B115</f>
        <v>Дверь средняя ЛДСП (для Л.СТ-1, Л.СУ-1, Л.СТ-2, Л.СУ-2)</v>
      </c>
      <c r="Q38" s="150" t="str">
        <f>C115</f>
        <v>361*1151x18</v>
      </c>
      <c r="R38" s="20">
        <v>1</v>
      </c>
      <c r="S38" s="20">
        <f>D115</f>
        <v>1519</v>
      </c>
      <c r="U38" s="150" t="str">
        <f>A116</f>
        <v xml:space="preserve">Л.Д-2 (R) </v>
      </c>
      <c r="V38" s="150" t="str">
        <f>B116</f>
        <v>Дверь средняя ЛДСП (для Л.СТ-1, Л.СУ-1, Л.СТ-2, Л.СУ-2)</v>
      </c>
      <c r="W38" s="150" t="str">
        <f>C116</f>
        <v>361*1151x18</v>
      </c>
      <c r="X38" s="20">
        <v>1</v>
      </c>
      <c r="Y38" s="20">
        <f>D116</f>
        <v>1519</v>
      </c>
      <c r="AA38" s="150" t="str">
        <f>A121</f>
        <v>Л.С-3 (L)</v>
      </c>
      <c r="AB38" s="150" t="str">
        <f>B121</f>
        <v>Дверь низкая стекло (для Л.СТ-1,  Л.СТ-2,  Л.СТ-3, Л.СУ-1,  Л.СУ-2, Л.СУ-3)</v>
      </c>
      <c r="AC38" s="150" t="str">
        <f>C121</f>
        <v>361*764x4</v>
      </c>
      <c r="AD38" s="20">
        <v>1</v>
      </c>
      <c r="AE38" s="20">
        <f>D121</f>
        <v>1450</v>
      </c>
      <c r="AF38" s="145"/>
      <c r="AG38" s="150" t="str">
        <f>A122</f>
        <v xml:space="preserve">Л.С-3  (R) </v>
      </c>
      <c r="AH38" s="150" t="str">
        <f>B122</f>
        <v>Дверь низкая стекло (для Л.СТ-1,  Л.СТ-2,  Л.СТ-3, Л.СУ-1,  Л.СУ-2, Л.СУ-3)</v>
      </c>
      <c r="AI38" s="150" t="str">
        <f>C122</f>
        <v>361*764x4</v>
      </c>
      <c r="AJ38" s="20">
        <v>1</v>
      </c>
      <c r="AK38" s="20">
        <f>D122</f>
        <v>1450</v>
      </c>
      <c r="AL38" s="145"/>
      <c r="AM38" s="150" t="str">
        <f>AM35</f>
        <v>Для Л.С-2</v>
      </c>
      <c r="AN38" s="150" t="str">
        <f>AN35</f>
        <v>Комплект фурнитуры для одного стекла</v>
      </c>
      <c r="AO38" s="150">
        <f>AO35</f>
        <v>0</v>
      </c>
      <c r="AP38" s="150">
        <f>AP35</f>
        <v>2</v>
      </c>
      <c r="AQ38" s="150">
        <f>AQ35</f>
        <v>605</v>
      </c>
    </row>
    <row r="39" spans="1:43" ht="16.5" customHeight="1" x14ac:dyDescent="0.2">
      <c r="A39" s="7" t="s">
        <v>106</v>
      </c>
      <c r="B39" s="4" t="s">
        <v>107</v>
      </c>
      <c r="C39" s="8" t="s">
        <v>68</v>
      </c>
      <c r="D39" s="6">
        <v>13751</v>
      </c>
      <c r="E39" s="140">
        <f t="shared" si="0"/>
        <v>18838.870000000003</v>
      </c>
      <c r="F39" s="145" t="s">
        <v>362</v>
      </c>
      <c r="G39" s="148"/>
      <c r="I39" s="150" t="str">
        <f>A23</f>
        <v>Л.СТ-1</v>
      </c>
      <c r="J39" s="150" t="str">
        <f>B23</f>
        <v>Стеллаж высокий широкий</v>
      </c>
      <c r="K39" s="150" t="str">
        <f>C23</f>
        <v>778*410*1980</v>
      </c>
      <c r="L39" s="20">
        <v>1</v>
      </c>
      <c r="M39" s="20">
        <f>D23</f>
        <v>8199</v>
      </c>
      <c r="O39" s="150" t="str">
        <f>A115</f>
        <v>Л.Д-2 (L)</v>
      </c>
      <c r="P39" s="150" t="str">
        <f>B115</f>
        <v>Дверь средняя ЛДСП (для Л.СТ-1, Л.СУ-1, Л.СТ-2, Л.СУ-2)</v>
      </c>
      <c r="Q39" s="150" t="str">
        <f>C115</f>
        <v>361*1151x18</v>
      </c>
      <c r="R39" s="20">
        <v>1</v>
      </c>
      <c r="S39" s="20">
        <f>D116</f>
        <v>1519</v>
      </c>
      <c r="U39" s="150" t="str">
        <f>A116</f>
        <v xml:space="preserve">Л.Д-2 (R) </v>
      </c>
      <c r="V39" s="150" t="str">
        <f>B116</f>
        <v>Дверь средняя ЛДСП (для Л.СТ-1, Л.СУ-1, Л.СТ-2, Л.СУ-2)</v>
      </c>
      <c r="W39" s="150" t="str">
        <f>C116</f>
        <v>361*1151x18</v>
      </c>
      <c r="X39" s="20">
        <v>1</v>
      </c>
      <c r="Y39" s="20">
        <f>D116</f>
        <v>1519</v>
      </c>
      <c r="AA39" s="150" t="str">
        <f>A117</f>
        <v>Л.Д-3 (L)</v>
      </c>
      <c r="AB39" s="150" t="str">
        <f>B117</f>
        <v>Дверь низкая ЛДСП (для Л.СТ-1, Л.СУ-1, Л.СТ-2, Л.СТ-3, Л.СУ-2, Л.СУ-3)</v>
      </c>
      <c r="AC39" s="150" t="str">
        <f>C117</f>
        <v>361*764x18</v>
      </c>
      <c r="AD39" s="20">
        <v>1</v>
      </c>
      <c r="AE39" s="20">
        <f>D117</f>
        <v>1257</v>
      </c>
      <c r="AF39" s="145"/>
      <c r="AG39" s="150" t="str">
        <f>A118</f>
        <v xml:space="preserve">Л.Д-3 (R) </v>
      </c>
      <c r="AH39" s="150" t="str">
        <f>B118</f>
        <v>Дверь низкая ЛДСП (для Л.СТ-1, Л.СУ-1, Л.СТ-2, Л.СТ-3, Л.СУ-2, Л.СУ-3)</v>
      </c>
      <c r="AI39" s="150" t="str">
        <f>C118</f>
        <v>361*764x18</v>
      </c>
      <c r="AJ39" s="20">
        <v>1</v>
      </c>
      <c r="AK39" s="20">
        <f>D118</f>
        <v>1257</v>
      </c>
      <c r="AL39" s="145"/>
    </row>
    <row r="40" spans="1:43" ht="16.5" customHeight="1" x14ac:dyDescent="0.2">
      <c r="A40" s="7" t="s">
        <v>108</v>
      </c>
      <c r="B40" s="4" t="s">
        <v>109</v>
      </c>
      <c r="C40" s="8" t="s">
        <v>68</v>
      </c>
      <c r="D40" s="6">
        <v>12675</v>
      </c>
      <c r="E40" s="140">
        <f t="shared" si="0"/>
        <v>17364.75</v>
      </c>
      <c r="F40" s="145" t="s">
        <v>363</v>
      </c>
      <c r="G40" s="148"/>
      <c r="I40" s="150" t="str">
        <f>A23</f>
        <v>Л.СТ-1</v>
      </c>
      <c r="J40" s="150" t="str">
        <f>B23</f>
        <v>Стеллаж высокий широкий</v>
      </c>
      <c r="K40" s="150" t="str">
        <f>C23</f>
        <v>778*410*1980</v>
      </c>
      <c r="L40" s="20">
        <v>1</v>
      </c>
      <c r="M40" s="20">
        <f>D23</f>
        <v>8199</v>
      </c>
      <c r="O40" s="150" t="str">
        <f>A113</f>
        <v>Л.Д-1 (L)</v>
      </c>
      <c r="P40" s="150" t="str">
        <f>B113</f>
        <v>Дверь высокая ЛДСП левая/правая (для Л.ГБ-2, Л.СТ-1, Л.СУ-1 и Л.ГБ-4)</v>
      </c>
      <c r="Q40" s="150" t="str">
        <f>C113</f>
        <v>361*1916x18</v>
      </c>
      <c r="R40" s="20">
        <v>1</v>
      </c>
      <c r="S40" s="20">
        <f>D113</f>
        <v>2238</v>
      </c>
      <c r="U40" s="150" t="str">
        <f>A114</f>
        <v xml:space="preserve">Л.Д-1 (R) </v>
      </c>
      <c r="V40" s="150" t="str">
        <f>B114</f>
        <v>Дверь высокая ЛДСП левая/правая (для Л.ГБ-2, Л.СТ-1, Л.СУ-1 и Л.ГБ-4)</v>
      </c>
      <c r="W40" s="150" t="str">
        <f>C114</f>
        <v>361*1916x18</v>
      </c>
      <c r="X40" s="20">
        <v>1</v>
      </c>
      <c r="Y40" s="20">
        <f>D114</f>
        <v>2238</v>
      </c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</row>
    <row r="41" spans="1:43" s="188" customFormat="1" ht="16.5" customHeight="1" x14ac:dyDescent="0.2">
      <c r="A41" s="181" t="s">
        <v>110</v>
      </c>
      <c r="B41" s="182" t="s">
        <v>111</v>
      </c>
      <c r="C41" s="183" t="s">
        <v>112</v>
      </c>
      <c r="D41" s="184">
        <v>32109</v>
      </c>
      <c r="E41" s="185">
        <f t="shared" si="0"/>
        <v>43989.33</v>
      </c>
      <c r="F41" s="186" t="s">
        <v>364</v>
      </c>
      <c r="G41" s="148"/>
      <c r="H41" s="147"/>
      <c r="I41" s="187" t="str">
        <f>A160</f>
        <v>ЛШК-1 Т 1/2</v>
      </c>
      <c r="J41" s="187" t="str">
        <f>B160</f>
        <v xml:space="preserve"> Каркас </v>
      </c>
      <c r="K41" s="187" t="str">
        <f>C160</f>
        <v>1200*410*1975</v>
      </c>
      <c r="L41" s="187">
        <v>1</v>
      </c>
      <c r="M41" s="187">
        <f>D160</f>
        <v>22548</v>
      </c>
      <c r="O41" s="187" t="str">
        <f>A161</f>
        <v>ЛШК-1 Т 2/2</v>
      </c>
      <c r="P41" s="187" t="str">
        <f>B161</f>
        <v xml:space="preserve"> Двери зад. стенка </v>
      </c>
      <c r="Q41" s="187" t="str">
        <f>C161</f>
        <v>1200*410*1975</v>
      </c>
      <c r="R41" s="187">
        <v>1</v>
      </c>
      <c r="S41" s="187">
        <f>D161</f>
        <v>9561</v>
      </c>
      <c r="U41" s="186"/>
      <c r="V41" s="186"/>
      <c r="W41" s="186"/>
      <c r="X41" s="186"/>
      <c r="Y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</row>
    <row r="42" spans="1:43" s="188" customFormat="1" ht="16.5" customHeight="1" x14ac:dyDescent="0.2">
      <c r="A42" s="181" t="s">
        <v>113</v>
      </c>
      <c r="B42" s="182" t="s">
        <v>114</v>
      </c>
      <c r="C42" s="183" t="s">
        <v>115</v>
      </c>
      <c r="D42" s="184">
        <v>23646</v>
      </c>
      <c r="E42" s="185">
        <f t="shared" si="0"/>
        <v>32395.020000000004</v>
      </c>
      <c r="F42" s="186" t="s">
        <v>365</v>
      </c>
      <c r="G42" s="148"/>
      <c r="H42" s="147"/>
      <c r="I42" s="187" t="str">
        <f>A162</f>
        <v>ЛШК-2 Т 1/2</v>
      </c>
      <c r="J42" s="187" t="str">
        <f>B162</f>
        <v xml:space="preserve"> Каркас </v>
      </c>
      <c r="K42" s="187" t="str">
        <f>C162</f>
        <v>1200*410*1200</v>
      </c>
      <c r="L42" s="187">
        <v>1</v>
      </c>
      <c r="M42" s="187">
        <f>D162</f>
        <v>17801</v>
      </c>
      <c r="O42" s="187" t="str">
        <f>A163</f>
        <v>ЛШК-2 Т 2/2</v>
      </c>
      <c r="P42" s="187" t="str">
        <f>B163</f>
        <v xml:space="preserve"> Двери зад. стенка </v>
      </c>
      <c r="Q42" s="187" t="str">
        <f>C163</f>
        <v>1200*410*1200</v>
      </c>
      <c r="R42" s="187">
        <v>1</v>
      </c>
      <c r="S42" s="187">
        <f>D163</f>
        <v>5845</v>
      </c>
      <c r="U42" s="186"/>
      <c r="V42" s="186"/>
      <c r="W42" s="186"/>
      <c r="X42" s="186"/>
      <c r="Y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</row>
    <row r="43" spans="1:43" s="188" customFormat="1" ht="16.5" customHeight="1" x14ac:dyDescent="0.2">
      <c r="A43" s="181" t="s">
        <v>116</v>
      </c>
      <c r="B43" s="182" t="s">
        <v>117</v>
      </c>
      <c r="C43" s="183" t="s">
        <v>118</v>
      </c>
      <c r="D43" s="184">
        <v>18982</v>
      </c>
      <c r="E43" s="185">
        <f t="shared" si="0"/>
        <v>26005.340000000004</v>
      </c>
      <c r="F43" s="186" t="s">
        <v>366</v>
      </c>
      <c r="G43" s="148"/>
      <c r="H43" s="147"/>
      <c r="I43" s="187" t="str">
        <f>A164</f>
        <v>ЛШК-3.1 Т 1/2</v>
      </c>
      <c r="J43" s="187" t="str">
        <f>B164</f>
        <v xml:space="preserve"> Каркас </v>
      </c>
      <c r="K43" s="187" t="str">
        <f>C164</f>
        <v>1200*410*755</v>
      </c>
      <c r="L43" s="187">
        <v>1</v>
      </c>
      <c r="M43" s="187">
        <f>D164</f>
        <v>15609</v>
      </c>
      <c r="O43" s="187" t="str">
        <f>A165</f>
        <v>ЛШК-3.1 Т 2/2</v>
      </c>
      <c r="P43" s="187" t="str">
        <f>B165</f>
        <v xml:space="preserve"> Двери зад. стенка </v>
      </c>
      <c r="Q43" s="187" t="str">
        <f>C165</f>
        <v>1200*410*755</v>
      </c>
      <c r="R43" s="187">
        <v>1</v>
      </c>
      <c r="S43" s="187">
        <f>D165</f>
        <v>3373</v>
      </c>
      <c r="U43" s="186"/>
      <c r="V43" s="186"/>
      <c r="W43" s="186"/>
      <c r="X43" s="186"/>
      <c r="Y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</row>
    <row r="44" spans="1:43" s="188" customFormat="1" ht="16.5" customHeight="1" x14ac:dyDescent="0.2">
      <c r="A44" s="181" t="s">
        <v>119</v>
      </c>
      <c r="B44" s="182" t="s">
        <v>117</v>
      </c>
      <c r="C44" s="183" t="s">
        <v>120</v>
      </c>
      <c r="D44" s="184">
        <v>21046</v>
      </c>
      <c r="E44" s="185">
        <f t="shared" si="0"/>
        <v>28833.02</v>
      </c>
      <c r="F44" s="186" t="s">
        <v>367</v>
      </c>
      <c r="G44" s="148"/>
      <c r="H44" s="147"/>
      <c r="I44" s="187" t="str">
        <f>A166</f>
        <v>ЛШК-3.2 Т 1/2</v>
      </c>
      <c r="J44" s="187" t="str">
        <f>B166</f>
        <v xml:space="preserve"> Каркас </v>
      </c>
      <c r="K44" s="187" t="str">
        <f>C166</f>
        <v>1440*410*755</v>
      </c>
      <c r="L44" s="187">
        <v>1</v>
      </c>
      <c r="M44" s="187">
        <f>D166</f>
        <v>17032</v>
      </c>
      <c r="O44" s="187" t="str">
        <f>A167</f>
        <v>ЛШК-3.2 Т 2/2</v>
      </c>
      <c r="P44" s="187" t="str">
        <f>B167</f>
        <v xml:space="preserve"> Двери зад. стенка </v>
      </c>
      <c r="Q44" s="187" t="str">
        <f>C167</f>
        <v>1440*410*755</v>
      </c>
      <c r="R44" s="187">
        <v>1</v>
      </c>
      <c r="S44" s="187">
        <f>D167</f>
        <v>4014</v>
      </c>
      <c r="U44" s="186"/>
      <c r="V44" s="186"/>
      <c r="W44" s="186"/>
      <c r="X44" s="186"/>
      <c r="Y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</row>
    <row r="45" spans="1:43" ht="16.5" customHeight="1" x14ac:dyDescent="0.2">
      <c r="A45" s="7" t="s">
        <v>368</v>
      </c>
      <c r="B45" s="4" t="s">
        <v>122</v>
      </c>
      <c r="C45" s="8" t="s">
        <v>77</v>
      </c>
      <c r="D45" s="10">
        <v>7934</v>
      </c>
      <c r="E45" s="140">
        <f t="shared" si="0"/>
        <v>10869.580000000002</v>
      </c>
      <c r="F45" s="145" t="s">
        <v>369</v>
      </c>
      <c r="G45" s="148"/>
      <c r="I45" s="150" t="str">
        <f>A26</f>
        <v>Л.СУ-1</v>
      </c>
      <c r="J45" s="150" t="str">
        <f>B26</f>
        <v>Стеллаж высокий узкий</v>
      </c>
      <c r="K45" s="150" t="str">
        <f>C26</f>
        <v>412*410*1980</v>
      </c>
      <c r="L45" s="20">
        <v>1</v>
      </c>
      <c r="M45" s="20">
        <f>D26</f>
        <v>6677</v>
      </c>
      <c r="O45" s="150" t="str">
        <f t="shared" ref="O45:Q46" si="3">A117</f>
        <v>Л.Д-3 (L)</v>
      </c>
      <c r="P45" s="150" t="str">
        <f t="shared" si="3"/>
        <v>Дверь низкая ЛДСП (для Л.СТ-1, Л.СУ-1, Л.СТ-2, Л.СТ-3, Л.СУ-2, Л.СУ-3)</v>
      </c>
      <c r="Q45" s="150" t="str">
        <f t="shared" si="3"/>
        <v>361*764x18</v>
      </c>
      <c r="R45" s="20">
        <v>1</v>
      </c>
      <c r="S45" s="20">
        <f>D117</f>
        <v>1257</v>
      </c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</row>
    <row r="46" spans="1:43" ht="16.5" customHeight="1" x14ac:dyDescent="0.2">
      <c r="A46" s="7" t="s">
        <v>370</v>
      </c>
      <c r="B46" s="4" t="s">
        <v>122</v>
      </c>
      <c r="C46" s="8" t="s">
        <v>77</v>
      </c>
      <c r="D46" s="10">
        <v>7934</v>
      </c>
      <c r="E46" s="140">
        <f t="shared" si="0"/>
        <v>10869.580000000002</v>
      </c>
      <c r="F46" s="145" t="s">
        <v>371</v>
      </c>
      <c r="G46" s="148"/>
      <c r="I46" s="150" t="str">
        <f>A26</f>
        <v>Л.СУ-1</v>
      </c>
      <c r="J46" s="150" t="str">
        <f>B26</f>
        <v>Стеллаж высокий узкий</v>
      </c>
      <c r="K46" s="150" t="str">
        <f>C26</f>
        <v>412*410*1980</v>
      </c>
      <c r="L46" s="20">
        <v>1</v>
      </c>
      <c r="M46" s="20">
        <f>D26</f>
        <v>6677</v>
      </c>
      <c r="O46" s="150" t="str">
        <f t="shared" si="3"/>
        <v xml:space="preserve">Л.Д-3 (R) </v>
      </c>
      <c r="P46" s="150" t="str">
        <f t="shared" si="3"/>
        <v>Дверь низкая ЛДСП (для Л.СТ-1, Л.СУ-1, Л.СТ-2, Л.СТ-3, Л.СУ-2, Л.СУ-3)</v>
      </c>
      <c r="Q46" s="150" t="str">
        <f t="shared" si="3"/>
        <v>361*764x18</v>
      </c>
      <c r="R46" s="20">
        <v>1</v>
      </c>
      <c r="S46" s="20">
        <f>D118</f>
        <v>1257</v>
      </c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</row>
    <row r="47" spans="1:43" ht="16.5" customHeight="1" x14ac:dyDescent="0.2">
      <c r="A47" s="7" t="s">
        <v>372</v>
      </c>
      <c r="B47" s="4" t="s">
        <v>124</v>
      </c>
      <c r="C47" s="8" t="s">
        <v>77</v>
      </c>
      <c r="D47" s="10">
        <v>10319</v>
      </c>
      <c r="E47" s="140">
        <f t="shared" si="0"/>
        <v>14137.03</v>
      </c>
      <c r="F47" s="145" t="s">
        <v>373</v>
      </c>
      <c r="G47" s="148"/>
      <c r="I47" s="150" t="str">
        <f>A26</f>
        <v>Л.СУ-1</v>
      </c>
      <c r="J47" s="150" t="str">
        <f>B26</f>
        <v>Стеллаж высокий узкий</v>
      </c>
      <c r="K47" s="150" t="str">
        <f>C26</f>
        <v>412*410*1980</v>
      </c>
      <c r="L47" s="20">
        <v>1</v>
      </c>
      <c r="M47" s="20">
        <f>D26</f>
        <v>6677</v>
      </c>
      <c r="O47" s="150" t="str">
        <f t="shared" ref="O47:Q48" si="4">A117</f>
        <v>Л.Д-3 (L)</v>
      </c>
      <c r="P47" s="150" t="str">
        <f t="shared" si="4"/>
        <v>Дверь низкая ЛДСП (для Л.СТ-1, Л.СУ-1, Л.СТ-2, Л.СТ-3, Л.СУ-2, Л.СУ-3)</v>
      </c>
      <c r="Q47" s="150" t="str">
        <f t="shared" si="4"/>
        <v>361*764x18</v>
      </c>
      <c r="R47" s="20">
        <v>1</v>
      </c>
      <c r="S47" s="20">
        <f>D117</f>
        <v>1257</v>
      </c>
      <c r="U47" s="150" t="str">
        <f>A120</f>
        <v xml:space="preserve">Л.С-2  (R) </v>
      </c>
      <c r="V47" s="150" t="str">
        <f>B120</f>
        <v>Дверь средняя стекло (для Л.СТ-1, Л.СУ-1, Л.СТ-2, Л.СУ-2)</v>
      </c>
      <c r="W47" s="150" t="str">
        <f>C120</f>
        <v>361*1151x4</v>
      </c>
      <c r="X47" s="20">
        <v>1</v>
      </c>
      <c r="Y47" s="20">
        <f>D120</f>
        <v>1780</v>
      </c>
      <c r="AA47" s="150" t="str">
        <f>A123</f>
        <v>Для Л.С-2</v>
      </c>
      <c r="AB47" s="150" t="str">
        <f>B123</f>
        <v>Комплект фурнитуры для одного стекла</v>
      </c>
      <c r="AC47" s="20"/>
      <c r="AD47" s="20">
        <v>1</v>
      </c>
      <c r="AE47" s="20">
        <f>D123</f>
        <v>605</v>
      </c>
      <c r="AF47" s="145"/>
      <c r="AG47" s="145"/>
      <c r="AH47" s="145"/>
      <c r="AI47" s="145"/>
      <c r="AJ47" s="145"/>
      <c r="AK47" s="145"/>
      <c r="AL47" s="145"/>
    </row>
    <row r="48" spans="1:43" ht="16.5" customHeight="1" x14ac:dyDescent="0.2">
      <c r="A48" s="7" t="s">
        <v>374</v>
      </c>
      <c r="B48" s="4" t="s">
        <v>124</v>
      </c>
      <c r="C48" s="8" t="s">
        <v>77</v>
      </c>
      <c r="D48" s="10">
        <v>10319</v>
      </c>
      <c r="E48" s="140">
        <f t="shared" si="0"/>
        <v>14137.03</v>
      </c>
      <c r="F48" s="145" t="s">
        <v>375</v>
      </c>
      <c r="G48" s="148"/>
      <c r="I48" s="150" t="str">
        <f>A26</f>
        <v>Л.СУ-1</v>
      </c>
      <c r="J48" s="150" t="str">
        <f>B26</f>
        <v>Стеллаж высокий узкий</v>
      </c>
      <c r="K48" s="150" t="str">
        <f>C26</f>
        <v>412*410*1980</v>
      </c>
      <c r="L48" s="20">
        <v>1</v>
      </c>
      <c r="M48" s="20">
        <f>D26</f>
        <v>6677</v>
      </c>
      <c r="O48" s="150" t="str">
        <f t="shared" si="4"/>
        <v xml:space="preserve">Л.Д-3 (R) </v>
      </c>
      <c r="P48" s="150" t="str">
        <f t="shared" si="4"/>
        <v>Дверь низкая ЛДСП (для Л.СТ-1, Л.СУ-1, Л.СТ-2, Л.СТ-3, Л.СУ-2, Л.СУ-3)</v>
      </c>
      <c r="Q48" s="150" t="str">
        <f t="shared" si="4"/>
        <v>361*764x18</v>
      </c>
      <c r="R48" s="20">
        <v>1</v>
      </c>
      <c r="S48" s="20">
        <f>D118</f>
        <v>1257</v>
      </c>
      <c r="U48" s="150" t="str">
        <f>A119</f>
        <v>Л.С-2 (L)</v>
      </c>
      <c r="V48" s="150" t="str">
        <f>B119</f>
        <v>Дверь средняя стекло (для Л.СТ-1, Л.СУ-1, Л.СТ-2, Л.СУ-2)</v>
      </c>
      <c r="W48" s="150" t="str">
        <f>C119</f>
        <v>361*1151x4</v>
      </c>
      <c r="X48" s="20">
        <v>1</v>
      </c>
      <c r="Y48" s="20">
        <f>D119</f>
        <v>1780</v>
      </c>
      <c r="AA48" s="150" t="str">
        <f>A124</f>
        <v>Для Л.С-3</v>
      </c>
      <c r="AB48" s="150" t="str">
        <f>B124</f>
        <v>Комплект фурнитуры для одного стекла</v>
      </c>
      <c r="AC48" s="20"/>
      <c r="AD48" s="20">
        <v>1</v>
      </c>
      <c r="AE48" s="20">
        <f>D124</f>
        <v>605</v>
      </c>
    </row>
    <row r="49" spans="1:31" ht="16.5" customHeight="1" x14ac:dyDescent="0.2">
      <c r="A49" s="7" t="s">
        <v>376</v>
      </c>
      <c r="B49" s="4" t="s">
        <v>126</v>
      </c>
      <c r="C49" s="8" t="s">
        <v>77</v>
      </c>
      <c r="D49" s="10">
        <v>9453</v>
      </c>
      <c r="E49" s="140">
        <f t="shared" si="0"/>
        <v>12950.61</v>
      </c>
      <c r="F49" s="145" t="s">
        <v>377</v>
      </c>
      <c r="G49" s="148"/>
      <c r="I49" s="150" t="str">
        <f>A26</f>
        <v>Л.СУ-1</v>
      </c>
      <c r="J49" s="150" t="str">
        <f>B26</f>
        <v>Стеллаж высокий узкий</v>
      </c>
      <c r="K49" s="150" t="str">
        <f>C26</f>
        <v>412*410*1980</v>
      </c>
      <c r="L49" s="20">
        <v>1</v>
      </c>
      <c r="M49" s="20">
        <f>D26</f>
        <v>6677</v>
      </c>
      <c r="O49" s="150" t="str">
        <f t="shared" ref="O49:Q50" si="5">A117</f>
        <v>Л.Д-3 (L)</v>
      </c>
      <c r="P49" s="150" t="str">
        <f t="shared" si="5"/>
        <v>Дверь низкая ЛДСП (для Л.СТ-1, Л.СУ-1, Л.СТ-2, Л.СТ-3, Л.СУ-2, Л.СУ-3)</v>
      </c>
      <c r="Q49" s="150" t="str">
        <f t="shared" si="5"/>
        <v>361*764x18</v>
      </c>
      <c r="R49" s="20">
        <v>1</v>
      </c>
      <c r="S49" s="20">
        <f>D117</f>
        <v>1257</v>
      </c>
      <c r="U49" s="150" t="str">
        <f>A116</f>
        <v xml:space="preserve">Л.Д-2 (R) </v>
      </c>
      <c r="V49" s="150" t="str">
        <f>B116</f>
        <v>Дверь средняя ЛДСП (для Л.СТ-1, Л.СУ-1, Л.СТ-2, Л.СУ-2)</v>
      </c>
      <c r="W49" s="150" t="str">
        <f>C116</f>
        <v>361*1151x18</v>
      </c>
      <c r="X49" s="20">
        <v>1</v>
      </c>
      <c r="Y49" s="20">
        <f>D116</f>
        <v>1519</v>
      </c>
      <c r="AA49" s="145"/>
      <c r="AB49" s="145"/>
      <c r="AC49" s="145"/>
      <c r="AD49" s="145"/>
      <c r="AE49" s="145"/>
    </row>
    <row r="50" spans="1:31" ht="16.5" customHeight="1" x14ac:dyDescent="0.2">
      <c r="A50" s="7" t="s">
        <v>378</v>
      </c>
      <c r="B50" s="4" t="s">
        <v>126</v>
      </c>
      <c r="C50" s="8" t="s">
        <v>77</v>
      </c>
      <c r="D50" s="10">
        <v>9453</v>
      </c>
      <c r="E50" s="140">
        <f t="shared" si="0"/>
        <v>12950.61</v>
      </c>
      <c r="F50" s="145" t="s">
        <v>379</v>
      </c>
      <c r="G50" s="148"/>
      <c r="I50" s="150" t="str">
        <f>A26</f>
        <v>Л.СУ-1</v>
      </c>
      <c r="J50" s="150" t="str">
        <f>B26</f>
        <v>Стеллаж высокий узкий</v>
      </c>
      <c r="K50" s="150" t="str">
        <f>C26</f>
        <v>412*410*1980</v>
      </c>
      <c r="L50" s="20">
        <v>1</v>
      </c>
      <c r="M50" s="20">
        <f>D26</f>
        <v>6677</v>
      </c>
      <c r="O50" s="150" t="str">
        <f t="shared" si="5"/>
        <v xml:space="preserve">Л.Д-3 (R) </v>
      </c>
      <c r="P50" s="150" t="str">
        <f t="shared" si="5"/>
        <v>Дверь низкая ЛДСП (для Л.СТ-1, Л.СУ-1, Л.СТ-2, Л.СТ-3, Л.СУ-2, Л.СУ-3)</v>
      </c>
      <c r="Q50" s="150" t="str">
        <f t="shared" si="5"/>
        <v>361*764x18</v>
      </c>
      <c r="R50" s="20">
        <v>1</v>
      </c>
      <c r="S50" s="20">
        <f>D118</f>
        <v>1257</v>
      </c>
      <c r="U50" s="150" t="str">
        <f>A115</f>
        <v>Л.Д-2 (L)</v>
      </c>
      <c r="V50" s="150" t="str">
        <f>B115</f>
        <v>Дверь средняя ЛДСП (для Л.СТ-1, Л.СУ-1, Л.СТ-2, Л.СУ-2)</v>
      </c>
      <c r="W50" s="150" t="str">
        <f>C115</f>
        <v>361*1151x18</v>
      </c>
      <c r="X50" s="20">
        <v>1</v>
      </c>
      <c r="Y50" s="20">
        <f>D115</f>
        <v>1519</v>
      </c>
      <c r="AA50" s="145"/>
      <c r="AB50" s="145"/>
      <c r="AC50" s="145"/>
      <c r="AD50" s="145"/>
      <c r="AE50" s="145"/>
    </row>
    <row r="51" spans="1:31" ht="16.5" customHeight="1" x14ac:dyDescent="0.2">
      <c r="A51" s="7" t="s">
        <v>380</v>
      </c>
      <c r="B51" s="4" t="s">
        <v>128</v>
      </c>
      <c r="C51" s="8" t="s">
        <v>77</v>
      </c>
      <c r="D51" s="10">
        <v>9989</v>
      </c>
      <c r="E51" s="140">
        <f t="shared" si="0"/>
        <v>13684.93</v>
      </c>
      <c r="F51" s="145" t="s">
        <v>381</v>
      </c>
      <c r="G51" s="148"/>
      <c r="I51" s="150" t="str">
        <f>A26</f>
        <v>Л.СУ-1</v>
      </c>
      <c r="J51" s="150" t="str">
        <f>B26</f>
        <v>Стеллаж высокий узкий</v>
      </c>
      <c r="K51" s="150" t="str">
        <f>C26</f>
        <v>412*410*1980</v>
      </c>
      <c r="L51" s="20">
        <v>1</v>
      </c>
      <c r="M51" s="20">
        <f>D26</f>
        <v>6677</v>
      </c>
      <c r="O51" s="150" t="str">
        <f t="shared" ref="O51:Q52" si="6">A117</f>
        <v>Л.Д-3 (L)</v>
      </c>
      <c r="P51" s="150" t="str">
        <f t="shared" si="6"/>
        <v>Дверь низкая ЛДСП (для Л.СТ-1, Л.СУ-1, Л.СТ-2, Л.СТ-3, Л.СУ-2, Л.СУ-3)</v>
      </c>
      <c r="Q51" s="150" t="str">
        <f t="shared" si="6"/>
        <v>361*764x18</v>
      </c>
      <c r="R51" s="20">
        <v>1</v>
      </c>
      <c r="S51" s="20">
        <f>D117</f>
        <v>1257</v>
      </c>
      <c r="U51" s="150" t="str">
        <f>A122</f>
        <v xml:space="preserve">Л.С-3  (R) </v>
      </c>
      <c r="V51" s="150" t="str">
        <f>B122</f>
        <v>Дверь низкая стекло (для Л.СТ-1,  Л.СТ-2,  Л.СТ-3, Л.СУ-1,  Л.СУ-2, Л.СУ-3)</v>
      </c>
      <c r="W51" s="150" t="str">
        <f>C122</f>
        <v>361*764x4</v>
      </c>
      <c r="X51" s="20">
        <v>1</v>
      </c>
      <c r="Y51" s="20">
        <f>D122</f>
        <v>1450</v>
      </c>
      <c r="AA51" s="150" t="str">
        <f>A123</f>
        <v>Для Л.С-2</v>
      </c>
      <c r="AB51" s="150" t="str">
        <f>B123</f>
        <v>Комплект фурнитуры для одного стекла</v>
      </c>
      <c r="AC51" s="20"/>
      <c r="AD51" s="20">
        <v>1</v>
      </c>
      <c r="AE51" s="20">
        <f>D123</f>
        <v>605</v>
      </c>
    </row>
    <row r="52" spans="1:31" ht="16.5" customHeight="1" x14ac:dyDescent="0.2">
      <c r="A52" s="7" t="s">
        <v>382</v>
      </c>
      <c r="B52" s="4" t="s">
        <v>128</v>
      </c>
      <c r="C52" s="8" t="s">
        <v>77</v>
      </c>
      <c r="D52" s="10">
        <v>9989</v>
      </c>
      <c r="E52" s="140">
        <f t="shared" si="0"/>
        <v>13684.93</v>
      </c>
      <c r="F52" s="145" t="s">
        <v>383</v>
      </c>
      <c r="G52" s="148"/>
      <c r="I52" s="150" t="str">
        <f>A26</f>
        <v>Л.СУ-1</v>
      </c>
      <c r="J52" s="150" t="str">
        <f>B26</f>
        <v>Стеллаж высокий узкий</v>
      </c>
      <c r="K52" s="150" t="str">
        <f>C26</f>
        <v>412*410*1980</v>
      </c>
      <c r="L52" s="20">
        <v>1</v>
      </c>
      <c r="M52" s="20">
        <f>D26</f>
        <v>6677</v>
      </c>
      <c r="O52" s="150" t="str">
        <f t="shared" si="6"/>
        <v xml:space="preserve">Л.Д-3 (R) </v>
      </c>
      <c r="P52" s="150" t="str">
        <f t="shared" si="6"/>
        <v>Дверь низкая ЛДСП (для Л.СТ-1, Л.СУ-1, Л.СТ-2, Л.СТ-3, Л.СУ-2, Л.СУ-3)</v>
      </c>
      <c r="Q52" s="150" t="str">
        <f t="shared" si="6"/>
        <v>361*764x18</v>
      </c>
      <c r="R52" s="20">
        <v>1</v>
      </c>
      <c r="S52" s="20">
        <f>D118</f>
        <v>1257</v>
      </c>
      <c r="U52" s="150" t="str">
        <f>A121</f>
        <v>Л.С-3 (L)</v>
      </c>
      <c r="V52" s="150" t="str">
        <f>B121</f>
        <v>Дверь низкая стекло (для Л.СТ-1,  Л.СТ-2,  Л.СТ-3, Л.СУ-1,  Л.СУ-2, Л.СУ-3)</v>
      </c>
      <c r="W52" s="150" t="str">
        <f>C121</f>
        <v>361*764x4</v>
      </c>
      <c r="X52" s="20">
        <v>1</v>
      </c>
      <c r="Y52" s="20">
        <f>D121</f>
        <v>1450</v>
      </c>
      <c r="AA52" s="150" t="str">
        <f>A123</f>
        <v>Для Л.С-2</v>
      </c>
      <c r="AB52" s="150" t="str">
        <f>B123</f>
        <v>Комплект фурнитуры для одного стекла</v>
      </c>
      <c r="AC52" s="20"/>
      <c r="AD52" s="20">
        <v>1</v>
      </c>
      <c r="AE52" s="20">
        <f>D123</f>
        <v>605</v>
      </c>
    </row>
    <row r="53" spans="1:31" ht="16.5" customHeight="1" x14ac:dyDescent="0.2">
      <c r="A53" s="7" t="s">
        <v>384</v>
      </c>
      <c r="B53" s="4" t="s">
        <v>130</v>
      </c>
      <c r="C53" s="8" t="s">
        <v>77</v>
      </c>
      <c r="D53" s="10">
        <v>9191</v>
      </c>
      <c r="E53" s="140">
        <f t="shared" si="0"/>
        <v>12591.67</v>
      </c>
      <c r="F53" s="145" t="s">
        <v>385</v>
      </c>
      <c r="G53" s="148"/>
      <c r="I53" s="150" t="str">
        <f>A26</f>
        <v>Л.СУ-1</v>
      </c>
      <c r="J53" s="150" t="str">
        <f>B26</f>
        <v>Стеллаж высокий узкий</v>
      </c>
      <c r="K53" s="150" t="str">
        <f>C26</f>
        <v>412*410*1980</v>
      </c>
      <c r="L53" s="20">
        <v>1</v>
      </c>
      <c r="M53" s="20">
        <f>D26</f>
        <v>6677</v>
      </c>
      <c r="O53" s="150" t="str">
        <f t="shared" ref="O53:Q54" si="7">A117</f>
        <v>Л.Д-3 (L)</v>
      </c>
      <c r="P53" s="150" t="str">
        <f t="shared" si="7"/>
        <v>Дверь низкая ЛДСП (для Л.СТ-1, Л.СУ-1, Л.СТ-2, Л.СТ-3, Л.СУ-2, Л.СУ-3)</v>
      </c>
      <c r="Q53" s="150" t="str">
        <f t="shared" si="7"/>
        <v>361*764x18</v>
      </c>
      <c r="R53" s="20">
        <v>1</v>
      </c>
      <c r="S53" s="20">
        <f>D117</f>
        <v>1257</v>
      </c>
      <c r="U53" s="150" t="str">
        <f>A118</f>
        <v xml:space="preserve">Л.Д-3 (R) </v>
      </c>
      <c r="V53" s="150" t="str">
        <f>B118</f>
        <v>Дверь низкая ЛДСП (для Л.СТ-1, Л.СУ-1, Л.СТ-2, Л.СТ-3, Л.СУ-2, Л.СУ-3)</v>
      </c>
      <c r="W53" s="150" t="str">
        <f>C118</f>
        <v>361*764x18</v>
      </c>
      <c r="X53" s="20">
        <v>1</v>
      </c>
      <c r="Y53" s="20">
        <f>D118</f>
        <v>1257</v>
      </c>
      <c r="AA53" s="145"/>
      <c r="AB53" s="145"/>
      <c r="AC53" s="145"/>
      <c r="AD53" s="145"/>
      <c r="AE53" s="145"/>
    </row>
    <row r="54" spans="1:31" ht="16.5" customHeight="1" x14ac:dyDescent="0.2">
      <c r="A54" s="7" t="s">
        <v>386</v>
      </c>
      <c r="B54" s="4" t="s">
        <v>130</v>
      </c>
      <c r="C54" s="8" t="s">
        <v>77</v>
      </c>
      <c r="D54" s="10">
        <v>9191</v>
      </c>
      <c r="E54" s="140">
        <f t="shared" si="0"/>
        <v>12591.67</v>
      </c>
      <c r="F54" s="145" t="s">
        <v>387</v>
      </c>
      <c r="G54" s="148"/>
      <c r="I54" s="150" t="str">
        <f>A26</f>
        <v>Л.СУ-1</v>
      </c>
      <c r="J54" s="150" t="str">
        <f>B26</f>
        <v>Стеллаж высокий узкий</v>
      </c>
      <c r="K54" s="150" t="str">
        <f>C26</f>
        <v>412*410*1980</v>
      </c>
      <c r="L54" s="150">
        <v>1</v>
      </c>
      <c r="M54" s="20">
        <f>D26</f>
        <v>6677</v>
      </c>
      <c r="O54" s="150" t="str">
        <f t="shared" si="7"/>
        <v xml:space="preserve">Л.Д-3 (R) </v>
      </c>
      <c r="P54" s="150" t="str">
        <f t="shared" si="7"/>
        <v>Дверь низкая ЛДСП (для Л.СТ-1, Л.СУ-1, Л.СТ-2, Л.СТ-3, Л.СУ-2, Л.СУ-3)</v>
      </c>
      <c r="Q54" s="150" t="str">
        <f t="shared" si="7"/>
        <v>361*764x18</v>
      </c>
      <c r="R54" s="20">
        <v>1</v>
      </c>
      <c r="S54" s="20">
        <f>D118</f>
        <v>1257</v>
      </c>
      <c r="U54" s="150" t="str">
        <f>A117</f>
        <v>Л.Д-3 (L)</v>
      </c>
      <c r="V54" s="150" t="str">
        <f>B117</f>
        <v>Дверь низкая ЛДСП (для Л.СТ-1, Л.СУ-1, Л.СТ-2, Л.СТ-3, Л.СУ-2, Л.СУ-3)</v>
      </c>
      <c r="W54" s="150" t="str">
        <f>C117</f>
        <v>361*764x18</v>
      </c>
      <c r="X54" s="20">
        <v>1</v>
      </c>
      <c r="Y54" s="20">
        <f>D117</f>
        <v>1257</v>
      </c>
      <c r="AA54" s="145"/>
      <c r="AB54" s="145"/>
      <c r="AC54" s="145"/>
      <c r="AD54" s="145"/>
      <c r="AE54" s="145"/>
    </row>
    <row r="55" spans="1:31" ht="16.5" customHeight="1" x14ac:dyDescent="0.2">
      <c r="A55" s="7" t="s">
        <v>388</v>
      </c>
      <c r="B55" s="4" t="s">
        <v>132</v>
      </c>
      <c r="C55" s="8" t="s">
        <v>77</v>
      </c>
      <c r="D55" s="10">
        <v>8196</v>
      </c>
      <c r="E55" s="140">
        <f t="shared" si="0"/>
        <v>11228.52</v>
      </c>
      <c r="F55" s="145" t="s">
        <v>389</v>
      </c>
      <c r="G55" s="148"/>
      <c r="I55" s="150" t="str">
        <f>A26</f>
        <v>Л.СУ-1</v>
      </c>
      <c r="J55" s="150" t="str">
        <f>B26</f>
        <v>Стеллаж высокий узкий</v>
      </c>
      <c r="K55" s="150" t="str">
        <f>C26</f>
        <v>412*410*1980</v>
      </c>
      <c r="L55" s="20">
        <v>1</v>
      </c>
      <c r="M55" s="20">
        <f>D26</f>
        <v>6677</v>
      </c>
      <c r="O55" s="150" t="str">
        <f t="shared" ref="O55:Q56" si="8">A115</f>
        <v>Л.Д-2 (L)</v>
      </c>
      <c r="P55" s="150" t="str">
        <f t="shared" si="8"/>
        <v>Дверь средняя ЛДСП (для Л.СТ-1, Л.СУ-1, Л.СТ-2, Л.СУ-2)</v>
      </c>
      <c r="Q55" s="150" t="str">
        <f t="shared" si="8"/>
        <v>361*1151x18</v>
      </c>
      <c r="R55" s="20">
        <v>1</v>
      </c>
      <c r="S55" s="20">
        <f>D115</f>
        <v>1519</v>
      </c>
      <c r="U55" s="145"/>
      <c r="V55" s="145"/>
      <c r="W55" s="145"/>
      <c r="X55" s="145"/>
      <c r="Y55" s="145"/>
      <c r="AA55" s="145"/>
      <c r="AB55" s="145"/>
      <c r="AC55" s="145"/>
      <c r="AD55" s="145"/>
      <c r="AE55" s="145"/>
    </row>
    <row r="56" spans="1:31" ht="16.5" customHeight="1" x14ac:dyDescent="0.2">
      <c r="A56" s="7" t="s">
        <v>390</v>
      </c>
      <c r="B56" s="4" t="s">
        <v>132</v>
      </c>
      <c r="C56" s="8" t="s">
        <v>77</v>
      </c>
      <c r="D56" s="10">
        <v>8196</v>
      </c>
      <c r="E56" s="140">
        <f t="shared" si="0"/>
        <v>11228.52</v>
      </c>
      <c r="F56" s="145" t="s">
        <v>391</v>
      </c>
      <c r="G56" s="148"/>
      <c r="I56" s="150" t="str">
        <f>A26</f>
        <v>Л.СУ-1</v>
      </c>
      <c r="J56" s="150" t="str">
        <f>B26</f>
        <v>Стеллаж высокий узкий</v>
      </c>
      <c r="K56" s="150" t="str">
        <f>C26</f>
        <v>412*410*1980</v>
      </c>
      <c r="L56" s="20">
        <v>1</v>
      </c>
      <c r="M56" s="20">
        <f>D26</f>
        <v>6677</v>
      </c>
      <c r="O56" s="150" t="str">
        <f t="shared" si="8"/>
        <v xml:space="preserve">Л.Д-2 (R) </v>
      </c>
      <c r="P56" s="150" t="str">
        <f t="shared" si="8"/>
        <v>Дверь средняя ЛДСП (для Л.СТ-1, Л.СУ-1, Л.СТ-2, Л.СУ-2)</v>
      </c>
      <c r="Q56" s="150" t="str">
        <f t="shared" si="8"/>
        <v>361*1151x18</v>
      </c>
      <c r="R56" s="20">
        <v>1</v>
      </c>
      <c r="S56" s="20">
        <f>D116</f>
        <v>1519</v>
      </c>
      <c r="U56" s="145"/>
      <c r="V56" s="145"/>
      <c r="W56" s="145"/>
      <c r="X56" s="145"/>
      <c r="Y56" s="145"/>
      <c r="AA56" s="145"/>
      <c r="AB56" s="145"/>
      <c r="AC56" s="145"/>
      <c r="AD56" s="145"/>
      <c r="AE56" s="145"/>
    </row>
    <row r="57" spans="1:31" ht="16.5" customHeight="1" x14ac:dyDescent="0.2">
      <c r="A57" s="7" t="s">
        <v>392</v>
      </c>
      <c r="B57" s="4" t="s">
        <v>134</v>
      </c>
      <c r="C57" s="8" t="s">
        <v>77</v>
      </c>
      <c r="D57" s="10">
        <v>10251</v>
      </c>
      <c r="E57" s="140">
        <f t="shared" si="0"/>
        <v>14043.87</v>
      </c>
      <c r="F57" s="145" t="s">
        <v>393</v>
      </c>
      <c r="G57" s="148"/>
      <c r="I57" s="150" t="str">
        <f>A26</f>
        <v>Л.СУ-1</v>
      </c>
      <c r="J57" s="150" t="str">
        <f>B26</f>
        <v>Стеллаж высокий узкий</v>
      </c>
      <c r="K57" s="150" t="str">
        <f>C26</f>
        <v>412*410*1980</v>
      </c>
      <c r="L57" s="20">
        <v>1</v>
      </c>
      <c r="M57" s="20">
        <f>D26</f>
        <v>6677</v>
      </c>
      <c r="O57" s="150" t="str">
        <f t="shared" ref="O57:Q58" si="9">A115</f>
        <v>Л.Д-2 (L)</v>
      </c>
      <c r="P57" s="150" t="str">
        <f t="shared" si="9"/>
        <v>Дверь средняя ЛДСП (для Л.СТ-1, Л.СУ-1, Л.СТ-2, Л.СУ-2)</v>
      </c>
      <c r="Q57" s="150" t="str">
        <f t="shared" si="9"/>
        <v>361*1151x18</v>
      </c>
      <c r="R57" s="20">
        <v>1</v>
      </c>
      <c r="S57" s="20">
        <f>D115</f>
        <v>1519</v>
      </c>
      <c r="U57" s="150" t="str">
        <f>A122</f>
        <v xml:space="preserve">Л.С-3  (R) </v>
      </c>
      <c r="V57" s="150" t="str">
        <f>B122</f>
        <v>Дверь низкая стекло (для Л.СТ-1,  Л.СТ-2,  Л.СТ-3, Л.СУ-1,  Л.СУ-2, Л.СУ-3)</v>
      </c>
      <c r="W57" s="150" t="str">
        <f>C122</f>
        <v>361*764x4</v>
      </c>
      <c r="X57" s="20">
        <v>1</v>
      </c>
      <c r="Y57" s="20">
        <f>D122</f>
        <v>1450</v>
      </c>
      <c r="AA57" s="150" t="str">
        <f>A123</f>
        <v>Для Л.С-2</v>
      </c>
      <c r="AB57" s="150" t="str">
        <f>B123</f>
        <v>Комплект фурнитуры для одного стекла</v>
      </c>
      <c r="AC57" s="20"/>
      <c r="AD57" s="20">
        <v>1</v>
      </c>
      <c r="AE57" s="20">
        <f>D123</f>
        <v>605</v>
      </c>
    </row>
    <row r="58" spans="1:31" ht="16.5" customHeight="1" x14ac:dyDescent="0.2">
      <c r="A58" s="7" t="s">
        <v>394</v>
      </c>
      <c r="B58" s="4" t="s">
        <v>134</v>
      </c>
      <c r="C58" s="8" t="s">
        <v>77</v>
      </c>
      <c r="D58" s="10">
        <v>10251</v>
      </c>
      <c r="E58" s="140">
        <f t="shared" si="0"/>
        <v>14043.87</v>
      </c>
      <c r="F58" s="145" t="s">
        <v>395</v>
      </c>
      <c r="G58" s="148"/>
      <c r="I58" s="150" t="str">
        <f>A26</f>
        <v>Л.СУ-1</v>
      </c>
      <c r="J58" s="150" t="str">
        <f>B26</f>
        <v>Стеллаж высокий узкий</v>
      </c>
      <c r="K58" s="150" t="str">
        <f>C26</f>
        <v>412*410*1980</v>
      </c>
      <c r="L58" s="20">
        <v>1</v>
      </c>
      <c r="M58" s="20">
        <f>D26</f>
        <v>6677</v>
      </c>
      <c r="O58" s="150" t="str">
        <f t="shared" si="9"/>
        <v xml:space="preserve">Л.Д-2 (R) </v>
      </c>
      <c r="P58" s="150" t="str">
        <f t="shared" si="9"/>
        <v>Дверь средняя ЛДСП (для Л.СТ-1, Л.СУ-1, Л.СТ-2, Л.СУ-2)</v>
      </c>
      <c r="Q58" s="150" t="str">
        <f t="shared" si="9"/>
        <v>361*1151x18</v>
      </c>
      <c r="R58" s="20">
        <v>1</v>
      </c>
      <c r="S58" s="20">
        <f>D116</f>
        <v>1519</v>
      </c>
      <c r="U58" s="150" t="str">
        <f>A121</f>
        <v>Л.С-3 (L)</v>
      </c>
      <c r="V58" s="150" t="str">
        <f>B121</f>
        <v>Дверь низкая стекло (для Л.СТ-1,  Л.СТ-2,  Л.СТ-3, Л.СУ-1,  Л.СУ-2, Л.СУ-3)</v>
      </c>
      <c r="W58" s="150" t="str">
        <f>C121</f>
        <v>361*764x4</v>
      </c>
      <c r="X58" s="20">
        <v>1</v>
      </c>
      <c r="Y58" s="20">
        <f>D121</f>
        <v>1450</v>
      </c>
      <c r="AA58" s="150" t="str">
        <f>A123</f>
        <v>Для Л.С-2</v>
      </c>
      <c r="AB58" s="150" t="str">
        <f>B123</f>
        <v>Комплект фурнитуры для одного стекла</v>
      </c>
      <c r="AC58" s="20"/>
      <c r="AD58" s="20">
        <v>1</v>
      </c>
      <c r="AE58" s="20">
        <f>D123</f>
        <v>605</v>
      </c>
    </row>
    <row r="59" spans="1:31" ht="16.5" customHeight="1" x14ac:dyDescent="0.2">
      <c r="A59" s="7" t="s">
        <v>396</v>
      </c>
      <c r="B59" s="4" t="s">
        <v>136</v>
      </c>
      <c r="C59" s="8" t="s">
        <v>77</v>
      </c>
      <c r="D59" s="10">
        <v>9453</v>
      </c>
      <c r="E59" s="140">
        <f t="shared" si="0"/>
        <v>12950.61</v>
      </c>
      <c r="F59" s="145" t="s">
        <v>397</v>
      </c>
      <c r="G59" s="148"/>
      <c r="I59" s="150" t="str">
        <f>A26</f>
        <v>Л.СУ-1</v>
      </c>
      <c r="J59" s="150" t="str">
        <f>B26</f>
        <v>Стеллаж высокий узкий</v>
      </c>
      <c r="K59" s="150" t="str">
        <f>C26</f>
        <v>412*410*1980</v>
      </c>
      <c r="L59" s="20">
        <v>1</v>
      </c>
      <c r="M59" s="20">
        <f>D26</f>
        <v>6677</v>
      </c>
      <c r="O59" s="150" t="str">
        <f t="shared" ref="O59:Q60" si="10">A115</f>
        <v>Л.Д-2 (L)</v>
      </c>
      <c r="P59" s="150" t="str">
        <f t="shared" si="10"/>
        <v>Дверь средняя ЛДСП (для Л.СТ-1, Л.СУ-1, Л.СТ-2, Л.СУ-2)</v>
      </c>
      <c r="Q59" s="150" t="str">
        <f t="shared" si="10"/>
        <v>361*1151x18</v>
      </c>
      <c r="R59" s="20">
        <v>1</v>
      </c>
      <c r="S59" s="150">
        <f>D115</f>
        <v>1519</v>
      </c>
      <c r="U59" s="150" t="str">
        <f>A118</f>
        <v xml:space="preserve">Л.Д-3 (R) </v>
      </c>
      <c r="V59" s="150" t="str">
        <f>B118</f>
        <v>Дверь низкая ЛДСП (для Л.СТ-1, Л.СУ-1, Л.СТ-2, Л.СТ-3, Л.СУ-2, Л.СУ-3)</v>
      </c>
      <c r="W59" s="150" t="str">
        <f>C118</f>
        <v>361*764x18</v>
      </c>
      <c r="X59" s="20">
        <v>1</v>
      </c>
      <c r="Y59" s="20">
        <f>D118</f>
        <v>1257</v>
      </c>
      <c r="AA59" s="145"/>
      <c r="AB59" s="145"/>
      <c r="AC59" s="145"/>
      <c r="AD59" s="145"/>
      <c r="AE59" s="145"/>
    </row>
    <row r="60" spans="1:31" ht="16.5" customHeight="1" x14ac:dyDescent="0.2">
      <c r="A60" s="7" t="s">
        <v>398</v>
      </c>
      <c r="B60" s="4" t="s">
        <v>136</v>
      </c>
      <c r="C60" s="8" t="s">
        <v>77</v>
      </c>
      <c r="D60" s="10">
        <v>9453</v>
      </c>
      <c r="E60" s="140">
        <f t="shared" si="0"/>
        <v>12950.61</v>
      </c>
      <c r="F60" s="145" t="s">
        <v>399</v>
      </c>
      <c r="G60" s="148"/>
      <c r="I60" s="150" t="str">
        <f>A26</f>
        <v>Л.СУ-1</v>
      </c>
      <c r="J60" s="150" t="str">
        <f>B26</f>
        <v>Стеллаж высокий узкий</v>
      </c>
      <c r="K60" s="150" t="str">
        <f>C26</f>
        <v>412*410*1980</v>
      </c>
      <c r="L60" s="20">
        <v>1</v>
      </c>
      <c r="M60" s="20">
        <f>D26</f>
        <v>6677</v>
      </c>
      <c r="O60" s="150" t="str">
        <f t="shared" si="10"/>
        <v xml:space="preserve">Л.Д-2 (R) </v>
      </c>
      <c r="P60" s="150" t="str">
        <f t="shared" si="10"/>
        <v>Дверь средняя ЛДСП (для Л.СТ-1, Л.СУ-1, Л.СТ-2, Л.СУ-2)</v>
      </c>
      <c r="Q60" s="150" t="str">
        <f t="shared" si="10"/>
        <v>361*1151x18</v>
      </c>
      <c r="R60" s="20">
        <v>1</v>
      </c>
      <c r="S60" s="20">
        <f>D116</f>
        <v>1519</v>
      </c>
      <c r="U60" s="150" t="str">
        <f>A117</f>
        <v>Л.Д-3 (L)</v>
      </c>
      <c r="V60" s="150" t="str">
        <f>B117</f>
        <v>Дверь низкая ЛДСП (для Л.СТ-1, Л.СУ-1, Л.СТ-2, Л.СТ-3, Л.СУ-2, Л.СУ-3)</v>
      </c>
      <c r="W60" s="150" t="str">
        <f>C117</f>
        <v>361*764x18</v>
      </c>
      <c r="X60" s="20">
        <v>1</v>
      </c>
      <c r="Y60" s="20">
        <f>D117</f>
        <v>1257</v>
      </c>
      <c r="AA60" s="145"/>
      <c r="AB60" s="145"/>
      <c r="AC60" s="145"/>
      <c r="AD60" s="145"/>
      <c r="AE60" s="145"/>
    </row>
    <row r="61" spans="1:31" ht="16.5" customHeight="1" x14ac:dyDescent="0.2">
      <c r="A61" s="7" t="s">
        <v>400</v>
      </c>
      <c r="B61" s="4" t="s">
        <v>138</v>
      </c>
      <c r="C61" s="8" t="s">
        <v>77</v>
      </c>
      <c r="D61" s="10">
        <v>8915</v>
      </c>
      <c r="E61" s="140">
        <f t="shared" si="0"/>
        <v>12213.550000000001</v>
      </c>
      <c r="F61" s="145" t="s">
        <v>401</v>
      </c>
      <c r="G61" s="148"/>
      <c r="I61" s="150" t="str">
        <f>A26</f>
        <v>Л.СУ-1</v>
      </c>
      <c r="J61" s="150" t="str">
        <f>B26</f>
        <v>Стеллаж высокий узкий</v>
      </c>
      <c r="K61" s="150" t="str">
        <f>C26</f>
        <v>412*410*1980</v>
      </c>
      <c r="L61" s="20">
        <v>1</v>
      </c>
      <c r="M61" s="20">
        <f>D26</f>
        <v>6677</v>
      </c>
      <c r="O61" s="150" t="str">
        <f t="shared" ref="O61:Q62" si="11">A113</f>
        <v>Л.Д-1 (L)</v>
      </c>
      <c r="P61" s="150" t="str">
        <f t="shared" si="11"/>
        <v>Дверь высокая ЛДСП левая/правая (для Л.ГБ-2, Л.СТ-1, Л.СУ-1 и Л.ГБ-4)</v>
      </c>
      <c r="Q61" s="150" t="str">
        <f t="shared" si="11"/>
        <v>361*1916x18</v>
      </c>
      <c r="R61" s="20">
        <v>1</v>
      </c>
      <c r="S61" s="20">
        <f>D113</f>
        <v>2238</v>
      </c>
      <c r="U61" s="145"/>
      <c r="V61" s="145"/>
      <c r="W61" s="145"/>
      <c r="X61" s="145"/>
      <c r="Y61" s="145"/>
      <c r="AA61" s="145"/>
      <c r="AB61" s="145"/>
      <c r="AC61" s="145"/>
      <c r="AD61" s="145"/>
      <c r="AE61" s="145"/>
    </row>
    <row r="62" spans="1:31" ht="16.5" customHeight="1" x14ac:dyDescent="0.2">
      <c r="A62" s="7" t="s">
        <v>402</v>
      </c>
      <c r="B62" s="4" t="s">
        <v>138</v>
      </c>
      <c r="C62" s="8" t="s">
        <v>77</v>
      </c>
      <c r="D62" s="10">
        <v>8915</v>
      </c>
      <c r="E62" s="140">
        <f t="shared" si="0"/>
        <v>12213.550000000001</v>
      </c>
      <c r="F62" s="145" t="s">
        <v>403</v>
      </c>
      <c r="G62" s="148"/>
      <c r="I62" s="150" t="str">
        <f>A26</f>
        <v>Л.СУ-1</v>
      </c>
      <c r="J62" s="150" t="str">
        <f>B26</f>
        <v>Стеллаж высокий узкий</v>
      </c>
      <c r="K62" s="150" t="str">
        <f>C26</f>
        <v>412*410*1980</v>
      </c>
      <c r="L62" s="20">
        <v>1</v>
      </c>
      <c r="M62" s="20">
        <f>D26</f>
        <v>6677</v>
      </c>
      <c r="O62" s="150" t="str">
        <f t="shared" si="11"/>
        <v xml:space="preserve">Л.Д-1 (R) </v>
      </c>
      <c r="P62" s="150" t="str">
        <f t="shared" si="11"/>
        <v>Дверь высокая ЛДСП левая/правая (для Л.ГБ-2, Л.СТ-1, Л.СУ-1 и Л.ГБ-4)</v>
      </c>
      <c r="Q62" s="150" t="str">
        <f t="shared" si="11"/>
        <v>361*1916x18</v>
      </c>
      <c r="R62" s="20">
        <v>1</v>
      </c>
      <c r="S62" s="20">
        <f>D114</f>
        <v>2238</v>
      </c>
      <c r="U62" s="145"/>
      <c r="V62" s="145"/>
      <c r="W62" s="145"/>
      <c r="X62" s="145"/>
      <c r="Y62" s="145"/>
      <c r="AA62" s="145"/>
      <c r="AB62" s="145"/>
      <c r="AC62" s="145"/>
      <c r="AD62" s="145"/>
      <c r="AE62" s="145"/>
    </row>
    <row r="63" spans="1:31" ht="16.5" customHeight="1" x14ac:dyDescent="0.2">
      <c r="A63" s="7" t="s">
        <v>139</v>
      </c>
      <c r="B63" s="4" t="s">
        <v>140</v>
      </c>
      <c r="C63" s="8" t="s">
        <v>71</v>
      </c>
      <c r="D63" s="10">
        <v>8516</v>
      </c>
      <c r="E63" s="140">
        <f t="shared" si="0"/>
        <v>11666.92</v>
      </c>
      <c r="F63" s="145" t="s">
        <v>404</v>
      </c>
      <c r="G63" s="148"/>
      <c r="I63" s="150" t="str">
        <f>A24</f>
        <v>Л.СТ-2</v>
      </c>
      <c r="J63" s="150" t="str">
        <f>B24</f>
        <v>Стеллаж средний широкий</v>
      </c>
      <c r="K63" s="150" t="str">
        <f>C24</f>
        <v>778*410*1215</v>
      </c>
      <c r="L63" s="20">
        <v>1</v>
      </c>
      <c r="M63" s="20">
        <f>D24</f>
        <v>6002</v>
      </c>
      <c r="O63" s="150" t="str">
        <f>A117</f>
        <v>Л.Д-3 (L)</v>
      </c>
      <c r="P63" s="150" t="str">
        <f>B117</f>
        <v>Дверь низкая ЛДСП (для Л.СТ-1, Л.СУ-1, Л.СТ-2, Л.СТ-3, Л.СУ-2, Л.СУ-3)</v>
      </c>
      <c r="Q63" s="150" t="str">
        <f>C117</f>
        <v>361*764x18</v>
      </c>
      <c r="R63" s="20">
        <v>1</v>
      </c>
      <c r="S63" s="20">
        <f>D117</f>
        <v>1257</v>
      </c>
      <c r="U63" s="150" t="str">
        <f>A118</f>
        <v xml:space="preserve">Л.Д-3 (R) </v>
      </c>
      <c r="V63" s="150" t="str">
        <f>B118</f>
        <v>Дверь низкая ЛДСП (для Л.СТ-1, Л.СУ-1, Л.СТ-2, Л.СТ-3, Л.СУ-2, Л.СУ-3)</v>
      </c>
      <c r="W63" s="150" t="str">
        <f>C118</f>
        <v>361*764x18</v>
      </c>
      <c r="X63" s="20">
        <v>1</v>
      </c>
      <c r="Y63" s="20">
        <f>D118</f>
        <v>1257</v>
      </c>
      <c r="AA63" s="145"/>
      <c r="AB63" s="145"/>
      <c r="AC63" s="145"/>
      <c r="AD63" s="145"/>
      <c r="AE63" s="145"/>
    </row>
    <row r="64" spans="1:31" ht="16.5" customHeight="1" x14ac:dyDescent="0.2">
      <c r="A64" s="7" t="s">
        <v>141</v>
      </c>
      <c r="B64" s="4" t="s">
        <v>142</v>
      </c>
      <c r="C64" s="8" t="s">
        <v>71</v>
      </c>
      <c r="D64" s="10">
        <v>10112</v>
      </c>
      <c r="E64" s="140">
        <f t="shared" si="0"/>
        <v>13853.44</v>
      </c>
      <c r="F64" s="145" t="s">
        <v>405</v>
      </c>
      <c r="G64" s="148"/>
      <c r="I64" s="150" t="str">
        <f>A24</f>
        <v>Л.СТ-2</v>
      </c>
      <c r="J64" s="150" t="str">
        <f>B24</f>
        <v>Стеллаж средний широкий</v>
      </c>
      <c r="K64" s="150" t="str">
        <f>C24</f>
        <v>778*410*1215</v>
      </c>
      <c r="L64" s="20">
        <v>1</v>
      </c>
      <c r="M64" s="20">
        <f>D24</f>
        <v>6002</v>
      </c>
      <c r="O64" s="150" t="str">
        <f>A121</f>
        <v>Л.С-3 (L)</v>
      </c>
      <c r="P64" s="150" t="str">
        <f>B121</f>
        <v>Дверь низкая стекло (для Л.СТ-1,  Л.СТ-2,  Л.СТ-3, Л.СУ-1,  Л.СУ-2, Л.СУ-3)</v>
      </c>
      <c r="Q64" s="150" t="str">
        <f>C121</f>
        <v>361*764x4</v>
      </c>
      <c r="R64" s="20">
        <v>1</v>
      </c>
      <c r="S64" s="20">
        <f>D121</f>
        <v>1450</v>
      </c>
      <c r="U64" s="150" t="str">
        <f>A122</f>
        <v xml:space="preserve">Л.С-3  (R) </v>
      </c>
      <c r="V64" s="150" t="str">
        <f>B122</f>
        <v>Дверь низкая стекло (для Л.СТ-1,  Л.СТ-2,  Л.СТ-3, Л.СУ-1,  Л.СУ-2, Л.СУ-3)</v>
      </c>
      <c r="W64" s="150" t="str">
        <f>C122</f>
        <v>361*764x4</v>
      </c>
      <c r="X64" s="20">
        <v>1</v>
      </c>
      <c r="Y64" s="20">
        <f>D122</f>
        <v>1450</v>
      </c>
      <c r="AA64" s="150" t="str">
        <f>A123</f>
        <v>Для Л.С-2</v>
      </c>
      <c r="AB64" s="150" t="str">
        <f>B123</f>
        <v>Комплект фурнитуры для одного стекла</v>
      </c>
      <c r="AC64" s="150"/>
      <c r="AD64" s="20">
        <v>2</v>
      </c>
      <c r="AE64" s="20">
        <f>D123</f>
        <v>605</v>
      </c>
    </row>
    <row r="65" spans="1:31" ht="16.5" customHeight="1" x14ac:dyDescent="0.2">
      <c r="A65" s="2" t="s">
        <v>143</v>
      </c>
      <c r="B65" s="4" t="s">
        <v>144</v>
      </c>
      <c r="C65" s="9" t="s">
        <v>71</v>
      </c>
      <c r="D65" s="10">
        <v>9040</v>
      </c>
      <c r="E65" s="140">
        <f t="shared" si="0"/>
        <v>12384.800000000001</v>
      </c>
      <c r="F65" s="145" t="s">
        <v>406</v>
      </c>
      <c r="G65" s="148"/>
      <c r="I65" s="150" t="str">
        <f>A24</f>
        <v>Л.СТ-2</v>
      </c>
      <c r="J65" s="150" t="str">
        <f>B24</f>
        <v>Стеллаж средний широкий</v>
      </c>
      <c r="K65" s="150" t="str">
        <f>C24</f>
        <v>778*410*1215</v>
      </c>
      <c r="L65" s="20">
        <v>1</v>
      </c>
      <c r="M65" s="20">
        <f>D24</f>
        <v>6002</v>
      </c>
      <c r="O65" s="150" t="str">
        <f>A115</f>
        <v>Л.Д-2 (L)</v>
      </c>
      <c r="P65" s="150" t="str">
        <f>B115</f>
        <v>Дверь средняя ЛДСП (для Л.СТ-1, Л.СУ-1, Л.СТ-2, Л.СУ-2)</v>
      </c>
      <c r="Q65" s="150" t="str">
        <f>C115</f>
        <v>361*1151x18</v>
      </c>
      <c r="R65" s="20">
        <v>1</v>
      </c>
      <c r="S65" s="20">
        <f>D119</f>
        <v>1780</v>
      </c>
      <c r="U65" s="150" t="str">
        <f>A116</f>
        <v xml:space="preserve">Л.Д-2 (R) </v>
      </c>
      <c r="V65" s="150" t="str">
        <f>B116</f>
        <v>Дверь средняя ЛДСП (для Л.СТ-1, Л.СУ-1, Л.СТ-2, Л.СУ-2)</v>
      </c>
      <c r="W65" s="150" t="str">
        <f>C116</f>
        <v>361*1151x18</v>
      </c>
      <c r="X65" s="20">
        <v>1</v>
      </c>
      <c r="Y65" s="20">
        <f>D116</f>
        <v>1519</v>
      </c>
      <c r="AA65" s="145"/>
      <c r="AB65" s="145"/>
      <c r="AC65" s="145"/>
      <c r="AD65" s="145"/>
      <c r="AE65" s="145"/>
    </row>
    <row r="66" spans="1:31" ht="16.5" customHeight="1" x14ac:dyDescent="0.2">
      <c r="A66" s="2" t="s">
        <v>145</v>
      </c>
      <c r="B66" s="4" t="s">
        <v>146</v>
      </c>
      <c r="C66" s="9" t="s">
        <v>71</v>
      </c>
      <c r="D66" s="10">
        <v>10772</v>
      </c>
      <c r="E66" s="140">
        <f t="shared" si="0"/>
        <v>14757.640000000001</v>
      </c>
      <c r="F66" s="145" t="s">
        <v>407</v>
      </c>
      <c r="G66" s="148"/>
      <c r="I66" s="150" t="str">
        <f>A24</f>
        <v>Л.СТ-2</v>
      </c>
      <c r="J66" s="150" t="str">
        <f>B24</f>
        <v>Стеллаж средний широкий</v>
      </c>
      <c r="K66" s="150" t="str">
        <f>C24</f>
        <v>778*410*1215</v>
      </c>
      <c r="L66" s="20">
        <v>1</v>
      </c>
      <c r="M66" s="20">
        <f>D24</f>
        <v>6002</v>
      </c>
      <c r="O66" s="150" t="str">
        <f>A119</f>
        <v>Л.С-2 (L)</v>
      </c>
      <c r="P66" s="150" t="str">
        <f>B119</f>
        <v>Дверь средняя стекло (для Л.СТ-1, Л.СУ-1, Л.СТ-2, Л.СУ-2)</v>
      </c>
      <c r="Q66" s="150" t="str">
        <f>C119</f>
        <v>361*1151x4</v>
      </c>
      <c r="R66" s="20">
        <v>1</v>
      </c>
      <c r="S66" s="20">
        <f>D119</f>
        <v>1780</v>
      </c>
      <c r="U66" s="150" t="str">
        <f>A120</f>
        <v xml:space="preserve">Л.С-2  (R) </v>
      </c>
      <c r="V66" s="150" t="str">
        <f>B120</f>
        <v>Дверь средняя стекло (для Л.СТ-1, Л.СУ-1, Л.СТ-2, Л.СУ-2)</v>
      </c>
      <c r="W66" s="150" t="str">
        <f>C120</f>
        <v>361*1151x4</v>
      </c>
      <c r="X66" s="20">
        <v>1</v>
      </c>
      <c r="Y66" s="20">
        <f>D120</f>
        <v>1780</v>
      </c>
      <c r="AA66" s="150" t="str">
        <f>A123</f>
        <v>Для Л.С-2</v>
      </c>
      <c r="AB66" s="150" t="str">
        <f>B123</f>
        <v>Комплект фурнитуры для одного стекла</v>
      </c>
      <c r="AC66" s="20"/>
      <c r="AD66" s="20">
        <v>2</v>
      </c>
      <c r="AE66" s="20">
        <f>D123</f>
        <v>605</v>
      </c>
    </row>
    <row r="67" spans="1:31" ht="16.5" customHeight="1" x14ac:dyDescent="0.2">
      <c r="A67" s="7" t="s">
        <v>408</v>
      </c>
      <c r="B67" s="4" t="s">
        <v>148</v>
      </c>
      <c r="C67" s="8" t="s">
        <v>80</v>
      </c>
      <c r="D67" s="10">
        <v>5696</v>
      </c>
      <c r="E67" s="140">
        <f t="shared" si="0"/>
        <v>7803.52</v>
      </c>
      <c r="F67" s="145" t="s">
        <v>409</v>
      </c>
      <c r="G67" s="148"/>
      <c r="I67" s="150" t="str">
        <f>A27</f>
        <v>Л.СУ-2</v>
      </c>
      <c r="J67" s="150" t="str">
        <f>B27</f>
        <v>Стеллаж средний узкий</v>
      </c>
      <c r="K67" s="150" t="str">
        <f>C27</f>
        <v>412*410*1215</v>
      </c>
      <c r="L67" s="20">
        <v>1</v>
      </c>
      <c r="M67" s="20">
        <f>D27</f>
        <v>4439</v>
      </c>
      <c r="O67" s="150" t="str">
        <f t="shared" ref="O67:Q68" si="12">A117</f>
        <v>Л.Д-3 (L)</v>
      </c>
      <c r="P67" s="150" t="str">
        <f t="shared" si="12"/>
        <v>Дверь низкая ЛДСП (для Л.СТ-1, Л.СУ-1, Л.СТ-2, Л.СТ-3, Л.СУ-2, Л.СУ-3)</v>
      </c>
      <c r="Q67" s="150" t="str">
        <f t="shared" si="12"/>
        <v>361*764x18</v>
      </c>
      <c r="R67" s="20">
        <v>1</v>
      </c>
      <c r="S67" s="20">
        <f>D117</f>
        <v>1257</v>
      </c>
      <c r="U67" s="145"/>
      <c r="V67" s="145"/>
      <c r="W67" s="145"/>
      <c r="X67" s="145"/>
      <c r="Y67" s="145"/>
      <c r="AA67" s="145"/>
      <c r="AB67" s="145"/>
      <c r="AC67" s="145"/>
      <c r="AD67" s="145"/>
      <c r="AE67" s="145"/>
    </row>
    <row r="68" spans="1:31" ht="16.5" customHeight="1" x14ac:dyDescent="0.2">
      <c r="A68" s="7" t="s">
        <v>410</v>
      </c>
      <c r="B68" s="4" t="s">
        <v>148</v>
      </c>
      <c r="C68" s="8" t="s">
        <v>80</v>
      </c>
      <c r="D68" s="10">
        <v>5696</v>
      </c>
      <c r="E68" s="140">
        <f>D68*$G$3</f>
        <v>7803.52</v>
      </c>
      <c r="F68" s="145" t="s">
        <v>411</v>
      </c>
      <c r="G68" s="148"/>
      <c r="I68" s="150" t="str">
        <f>A27</f>
        <v>Л.СУ-2</v>
      </c>
      <c r="J68" s="150" t="str">
        <f>B27</f>
        <v>Стеллаж средний узкий</v>
      </c>
      <c r="K68" s="150" t="str">
        <f>C27</f>
        <v>412*410*1215</v>
      </c>
      <c r="L68" s="20">
        <v>1</v>
      </c>
      <c r="M68" s="20">
        <f>D27</f>
        <v>4439</v>
      </c>
      <c r="O68" s="150" t="str">
        <f t="shared" si="12"/>
        <v xml:space="preserve">Л.Д-3 (R) </v>
      </c>
      <c r="P68" s="150" t="str">
        <f t="shared" si="12"/>
        <v>Дверь низкая ЛДСП (для Л.СТ-1, Л.СУ-1, Л.СТ-2, Л.СТ-3, Л.СУ-2, Л.СУ-3)</v>
      </c>
      <c r="Q68" s="150" t="str">
        <f t="shared" si="12"/>
        <v>361*764x18</v>
      </c>
      <c r="R68" s="20">
        <v>1</v>
      </c>
      <c r="S68" s="20">
        <f>D118</f>
        <v>1257</v>
      </c>
      <c r="U68" s="145"/>
      <c r="V68" s="145"/>
      <c r="W68" s="145"/>
      <c r="X68" s="145"/>
      <c r="Y68" s="145"/>
      <c r="AA68" s="145"/>
      <c r="AB68" s="145"/>
      <c r="AC68" s="145"/>
      <c r="AD68" s="145"/>
      <c r="AE68" s="145"/>
    </row>
    <row r="69" spans="1:31" ht="16.5" customHeight="1" x14ac:dyDescent="0.2">
      <c r="A69" s="7" t="s">
        <v>412</v>
      </c>
      <c r="B69" s="4" t="s">
        <v>150</v>
      </c>
      <c r="C69" s="8" t="s">
        <v>80</v>
      </c>
      <c r="D69" s="10">
        <v>6494</v>
      </c>
      <c r="E69" s="140">
        <f t="shared" si="0"/>
        <v>8896.7800000000007</v>
      </c>
      <c r="F69" s="145" t="s">
        <v>413</v>
      </c>
      <c r="G69" s="148"/>
      <c r="I69" s="150" t="str">
        <f>A27</f>
        <v>Л.СУ-2</v>
      </c>
      <c r="J69" s="150" t="str">
        <f>B27</f>
        <v>Стеллаж средний узкий</v>
      </c>
      <c r="K69" s="150" t="str">
        <f>C27</f>
        <v>412*410*1215</v>
      </c>
      <c r="L69" s="20">
        <v>1</v>
      </c>
      <c r="M69" s="20">
        <f>D27</f>
        <v>4439</v>
      </c>
      <c r="O69" s="150" t="str">
        <f t="shared" ref="O69:Q70" si="13">A121</f>
        <v>Л.С-3 (L)</v>
      </c>
      <c r="P69" s="150" t="str">
        <f t="shared" si="13"/>
        <v>Дверь низкая стекло (для Л.СТ-1,  Л.СТ-2,  Л.СТ-3, Л.СУ-1,  Л.СУ-2, Л.СУ-3)</v>
      </c>
      <c r="Q69" s="150" t="str">
        <f t="shared" si="13"/>
        <v>361*764x4</v>
      </c>
      <c r="R69" s="20">
        <v>1</v>
      </c>
      <c r="S69" s="20">
        <f>D121</f>
        <v>1450</v>
      </c>
      <c r="U69" s="150" t="str">
        <f>A123</f>
        <v>Для Л.С-2</v>
      </c>
      <c r="V69" s="150" t="str">
        <f>B123</f>
        <v>Комплект фурнитуры для одного стекла</v>
      </c>
      <c r="W69" s="20"/>
      <c r="X69" s="20">
        <v>1</v>
      </c>
      <c r="Y69" s="20">
        <f>D123</f>
        <v>605</v>
      </c>
      <c r="AA69" s="145"/>
      <c r="AB69" s="145"/>
      <c r="AC69" s="145"/>
      <c r="AD69" s="145"/>
      <c r="AE69" s="145"/>
    </row>
    <row r="70" spans="1:31" ht="16.5" customHeight="1" x14ac:dyDescent="0.2">
      <c r="A70" s="7" t="s">
        <v>414</v>
      </c>
      <c r="B70" s="4" t="s">
        <v>150</v>
      </c>
      <c r="C70" s="8" t="s">
        <v>80</v>
      </c>
      <c r="D70" s="10">
        <v>6494</v>
      </c>
      <c r="E70" s="140">
        <f>D70*$G$3</f>
        <v>8896.7800000000007</v>
      </c>
      <c r="F70" s="145" t="s">
        <v>415</v>
      </c>
      <c r="G70" s="148"/>
      <c r="I70" s="150" t="str">
        <f>A27</f>
        <v>Л.СУ-2</v>
      </c>
      <c r="J70" s="150" t="str">
        <f>B27</f>
        <v>Стеллаж средний узкий</v>
      </c>
      <c r="K70" s="150" t="str">
        <f>C27</f>
        <v>412*410*1215</v>
      </c>
      <c r="L70" s="20">
        <v>1</v>
      </c>
      <c r="M70" s="20">
        <f>D27</f>
        <v>4439</v>
      </c>
      <c r="O70" s="150" t="str">
        <f t="shared" si="13"/>
        <v xml:space="preserve">Л.С-3  (R) </v>
      </c>
      <c r="P70" s="150" t="str">
        <f t="shared" si="13"/>
        <v>Дверь низкая стекло (для Л.СТ-1,  Л.СТ-2,  Л.СТ-3, Л.СУ-1,  Л.СУ-2, Л.СУ-3)</v>
      </c>
      <c r="Q70" s="150" t="str">
        <f t="shared" si="13"/>
        <v>361*764x4</v>
      </c>
      <c r="R70" s="20">
        <v>1</v>
      </c>
      <c r="S70" s="20">
        <f>D122</f>
        <v>1450</v>
      </c>
      <c r="U70" s="150" t="str">
        <f>A123</f>
        <v>Для Л.С-2</v>
      </c>
      <c r="V70" s="150" t="str">
        <f>B123</f>
        <v>Комплект фурнитуры для одного стекла</v>
      </c>
      <c r="W70" s="20"/>
      <c r="X70" s="20">
        <v>1</v>
      </c>
      <c r="Y70" s="20">
        <f>D123</f>
        <v>605</v>
      </c>
      <c r="AA70" s="145"/>
      <c r="AB70" s="145"/>
      <c r="AC70" s="145"/>
      <c r="AD70" s="145"/>
      <c r="AE70" s="145"/>
    </row>
    <row r="71" spans="1:31" ht="16.5" customHeight="1" x14ac:dyDescent="0.2">
      <c r="A71" s="7" t="s">
        <v>416</v>
      </c>
      <c r="B71" s="4" t="s">
        <v>152</v>
      </c>
      <c r="C71" s="8" t="s">
        <v>80</v>
      </c>
      <c r="D71" s="10">
        <v>5958</v>
      </c>
      <c r="E71" s="140">
        <f t="shared" si="0"/>
        <v>8162.4600000000009</v>
      </c>
      <c r="F71" s="145" t="s">
        <v>417</v>
      </c>
      <c r="G71" s="148"/>
      <c r="I71" s="150" t="str">
        <f>A27</f>
        <v>Л.СУ-2</v>
      </c>
      <c r="J71" s="150" t="str">
        <f>B27</f>
        <v>Стеллаж средний узкий</v>
      </c>
      <c r="K71" s="150" t="str">
        <f>C27</f>
        <v>412*410*1215</v>
      </c>
      <c r="L71" s="20">
        <v>1</v>
      </c>
      <c r="M71" s="20">
        <f>D27</f>
        <v>4439</v>
      </c>
      <c r="O71" s="150" t="str">
        <f t="shared" ref="O71:Q72" si="14">A115</f>
        <v>Л.Д-2 (L)</v>
      </c>
      <c r="P71" s="150" t="str">
        <f t="shared" si="14"/>
        <v>Дверь средняя ЛДСП (для Л.СТ-1, Л.СУ-1, Л.СТ-2, Л.СУ-2)</v>
      </c>
      <c r="Q71" s="150" t="str">
        <f t="shared" si="14"/>
        <v>361*1151x18</v>
      </c>
      <c r="R71" s="20">
        <v>1</v>
      </c>
      <c r="S71" s="20">
        <f>D115</f>
        <v>1519</v>
      </c>
      <c r="U71" s="145"/>
      <c r="V71" s="145"/>
      <c r="W71" s="145"/>
      <c r="X71" s="145"/>
      <c r="Y71" s="145"/>
      <c r="AA71" s="145"/>
      <c r="AB71" s="145"/>
      <c r="AC71" s="145"/>
      <c r="AD71" s="145"/>
      <c r="AE71" s="145"/>
    </row>
    <row r="72" spans="1:31" ht="16.5" customHeight="1" x14ac:dyDescent="0.2">
      <c r="A72" s="7" t="s">
        <v>418</v>
      </c>
      <c r="B72" s="4" t="s">
        <v>152</v>
      </c>
      <c r="C72" s="8" t="s">
        <v>80</v>
      </c>
      <c r="D72" s="10">
        <v>5958</v>
      </c>
      <c r="E72" s="140">
        <f>D72*$G$3</f>
        <v>8162.4600000000009</v>
      </c>
      <c r="F72" s="145" t="s">
        <v>419</v>
      </c>
      <c r="G72" s="148"/>
      <c r="I72" s="150" t="str">
        <f>A27</f>
        <v>Л.СУ-2</v>
      </c>
      <c r="J72" s="150" t="str">
        <f>B27</f>
        <v>Стеллаж средний узкий</v>
      </c>
      <c r="K72" s="150" t="str">
        <f>C27</f>
        <v>412*410*1215</v>
      </c>
      <c r="L72" s="20">
        <v>1</v>
      </c>
      <c r="M72" s="20">
        <f>D27</f>
        <v>4439</v>
      </c>
      <c r="O72" s="150" t="str">
        <f t="shared" si="14"/>
        <v xml:space="preserve">Л.Д-2 (R) </v>
      </c>
      <c r="P72" s="150" t="str">
        <f t="shared" si="14"/>
        <v>Дверь средняя ЛДСП (для Л.СТ-1, Л.СУ-1, Л.СТ-2, Л.СУ-2)</v>
      </c>
      <c r="Q72" s="150" t="str">
        <f t="shared" si="14"/>
        <v>361*1151x18</v>
      </c>
      <c r="R72" s="20">
        <v>1</v>
      </c>
      <c r="S72" s="20">
        <f>D116</f>
        <v>1519</v>
      </c>
      <c r="U72" s="145"/>
      <c r="V72" s="145"/>
      <c r="W72" s="145"/>
      <c r="X72" s="145"/>
      <c r="Y72" s="145"/>
      <c r="AA72" s="145"/>
      <c r="AB72" s="145"/>
      <c r="AC72" s="145"/>
      <c r="AD72" s="145"/>
      <c r="AE72" s="145"/>
    </row>
    <row r="73" spans="1:31" ht="16.5" customHeight="1" x14ac:dyDescent="0.2">
      <c r="A73" s="7" t="s">
        <v>420</v>
      </c>
      <c r="B73" s="4" t="s">
        <v>154</v>
      </c>
      <c r="C73" s="8" t="s">
        <v>80</v>
      </c>
      <c r="D73" s="10">
        <v>6824</v>
      </c>
      <c r="E73" s="140">
        <f t="shared" si="0"/>
        <v>9348.880000000001</v>
      </c>
      <c r="F73" s="145" t="s">
        <v>421</v>
      </c>
      <c r="G73" s="148"/>
      <c r="I73" s="150" t="str">
        <f>A27</f>
        <v>Л.СУ-2</v>
      </c>
      <c r="J73" s="150" t="str">
        <f>B27</f>
        <v>Стеллаж средний узкий</v>
      </c>
      <c r="K73" s="150" t="str">
        <f>C27</f>
        <v>412*410*1215</v>
      </c>
      <c r="L73" s="20">
        <v>1</v>
      </c>
      <c r="M73" s="20">
        <f>D27</f>
        <v>4439</v>
      </c>
      <c r="O73" s="150" t="str">
        <f t="shared" ref="O73:Q74" si="15">A119</f>
        <v>Л.С-2 (L)</v>
      </c>
      <c r="P73" s="150" t="str">
        <f t="shared" si="15"/>
        <v>Дверь средняя стекло (для Л.СТ-1, Л.СУ-1, Л.СТ-2, Л.СУ-2)</v>
      </c>
      <c r="Q73" s="150" t="str">
        <f t="shared" si="15"/>
        <v>361*1151x4</v>
      </c>
      <c r="R73" s="20">
        <v>1</v>
      </c>
      <c r="S73" s="20">
        <f>D119</f>
        <v>1780</v>
      </c>
      <c r="U73" s="150" t="str">
        <f>A123</f>
        <v>Для Л.С-2</v>
      </c>
      <c r="V73" s="150" t="str">
        <f>B123</f>
        <v>Комплект фурнитуры для одного стекла</v>
      </c>
      <c r="W73" s="20"/>
      <c r="X73" s="20">
        <v>1</v>
      </c>
      <c r="Y73" s="20">
        <f>D123</f>
        <v>605</v>
      </c>
      <c r="AA73" s="145"/>
      <c r="AB73" s="145"/>
      <c r="AC73" s="145"/>
      <c r="AD73" s="145"/>
      <c r="AE73" s="145"/>
    </row>
    <row r="74" spans="1:31" ht="16.5" customHeight="1" x14ac:dyDescent="0.2">
      <c r="A74" s="7" t="s">
        <v>422</v>
      </c>
      <c r="B74" s="4" t="s">
        <v>154</v>
      </c>
      <c r="C74" s="8" t="s">
        <v>80</v>
      </c>
      <c r="D74" s="10">
        <v>6824</v>
      </c>
      <c r="E74" s="140">
        <f>D74*$G$3</f>
        <v>9348.880000000001</v>
      </c>
      <c r="F74" s="145" t="s">
        <v>423</v>
      </c>
      <c r="G74" s="148"/>
      <c r="I74" s="150" t="str">
        <f>A27</f>
        <v>Л.СУ-2</v>
      </c>
      <c r="J74" s="150" t="str">
        <f>B27</f>
        <v>Стеллаж средний узкий</v>
      </c>
      <c r="K74" s="150" t="str">
        <f>C27</f>
        <v>412*410*1215</v>
      </c>
      <c r="L74" s="20">
        <v>1</v>
      </c>
      <c r="M74" s="20">
        <f>D27</f>
        <v>4439</v>
      </c>
      <c r="O74" s="150" t="str">
        <f t="shared" si="15"/>
        <v xml:space="preserve">Л.С-2  (R) </v>
      </c>
      <c r="P74" s="150" t="str">
        <f t="shared" si="15"/>
        <v>Дверь средняя стекло (для Л.СТ-1, Л.СУ-1, Л.СТ-2, Л.СУ-2)</v>
      </c>
      <c r="Q74" s="150" t="str">
        <f t="shared" si="15"/>
        <v>361*1151x4</v>
      </c>
      <c r="R74" s="20">
        <v>1</v>
      </c>
      <c r="S74" s="20">
        <f>D120</f>
        <v>1780</v>
      </c>
      <c r="U74" s="150" t="str">
        <f>A123</f>
        <v>Для Л.С-2</v>
      </c>
      <c r="V74" s="150" t="str">
        <f>B123</f>
        <v>Комплект фурнитуры для одного стекла</v>
      </c>
      <c r="W74" s="20"/>
      <c r="X74" s="20">
        <v>1</v>
      </c>
      <c r="Y74" s="20">
        <f>D123</f>
        <v>605</v>
      </c>
      <c r="AA74" s="145"/>
      <c r="AB74" s="145"/>
      <c r="AC74" s="145"/>
      <c r="AD74" s="145"/>
      <c r="AE74" s="145"/>
    </row>
    <row r="75" spans="1:31" ht="16.5" customHeight="1" x14ac:dyDescent="0.2">
      <c r="A75" s="7" t="s">
        <v>155</v>
      </c>
      <c r="B75" s="4" t="s">
        <v>156</v>
      </c>
      <c r="C75" s="8" t="s">
        <v>74</v>
      </c>
      <c r="D75" s="10">
        <v>7044</v>
      </c>
      <c r="E75" s="140">
        <f t="shared" si="0"/>
        <v>9650.2800000000007</v>
      </c>
      <c r="F75" s="145" t="s">
        <v>424</v>
      </c>
      <c r="G75" s="148"/>
      <c r="I75" s="150" t="str">
        <f>A25</f>
        <v>Л.СТ-3</v>
      </c>
      <c r="J75" s="150" t="str">
        <f>B25</f>
        <v>Стеллаж низкий широкий</v>
      </c>
      <c r="K75" s="150" t="str">
        <f>C25</f>
        <v>778*410*828</v>
      </c>
      <c r="L75" s="20">
        <v>1</v>
      </c>
      <c r="M75" s="20">
        <f>D25</f>
        <v>4530</v>
      </c>
      <c r="O75" s="150" t="str">
        <f>A117</f>
        <v>Л.Д-3 (L)</v>
      </c>
      <c r="P75" s="150" t="str">
        <f>B117</f>
        <v>Дверь низкая ЛДСП (для Л.СТ-1, Л.СУ-1, Л.СТ-2, Л.СТ-3, Л.СУ-2, Л.СУ-3)</v>
      </c>
      <c r="Q75" s="150" t="str">
        <f>C117</f>
        <v>361*764x18</v>
      </c>
      <c r="R75" s="20">
        <v>1</v>
      </c>
      <c r="S75" s="20">
        <f>D117</f>
        <v>1257</v>
      </c>
      <c r="U75" s="150" t="str">
        <f>A118</f>
        <v xml:space="preserve">Л.Д-3 (R) </v>
      </c>
      <c r="V75" s="150" t="str">
        <f>B118</f>
        <v>Дверь низкая ЛДСП (для Л.СТ-1, Л.СУ-1, Л.СТ-2, Л.СТ-3, Л.СУ-2, Л.СУ-3)</v>
      </c>
      <c r="W75" s="150" t="str">
        <f>C118</f>
        <v>361*764x18</v>
      </c>
      <c r="X75" s="20">
        <v>1</v>
      </c>
      <c r="Y75" s="20">
        <f>D118</f>
        <v>1257</v>
      </c>
      <c r="AA75" s="145"/>
      <c r="AB75" s="145"/>
      <c r="AC75" s="145"/>
      <c r="AD75" s="145"/>
      <c r="AE75" s="145"/>
    </row>
    <row r="76" spans="1:31" ht="16.5" customHeight="1" x14ac:dyDescent="0.2">
      <c r="A76" s="7" t="s">
        <v>157</v>
      </c>
      <c r="B76" s="4" t="s">
        <v>158</v>
      </c>
      <c r="C76" s="8" t="s">
        <v>74</v>
      </c>
      <c r="D76" s="10">
        <v>8640</v>
      </c>
      <c r="E76" s="140">
        <f t="shared" si="0"/>
        <v>11836.800000000001</v>
      </c>
      <c r="F76" s="145" t="s">
        <v>425</v>
      </c>
      <c r="G76" s="148"/>
      <c r="I76" s="150" t="str">
        <f>A25</f>
        <v>Л.СТ-3</v>
      </c>
      <c r="J76" s="150" t="str">
        <f>B25</f>
        <v>Стеллаж низкий широкий</v>
      </c>
      <c r="K76" s="150" t="str">
        <f>C25</f>
        <v>778*410*828</v>
      </c>
      <c r="L76" s="20">
        <v>1</v>
      </c>
      <c r="M76" s="20">
        <f>D25</f>
        <v>4530</v>
      </c>
      <c r="O76" s="150" t="str">
        <f>A121</f>
        <v>Л.С-3 (L)</v>
      </c>
      <c r="P76" s="150" t="str">
        <f>B121</f>
        <v>Дверь низкая стекло (для Л.СТ-1,  Л.СТ-2,  Л.СТ-3, Л.СУ-1,  Л.СУ-2, Л.СУ-3)</v>
      </c>
      <c r="Q76" s="150" t="str">
        <f>C121</f>
        <v>361*764x4</v>
      </c>
      <c r="R76" s="20">
        <v>1</v>
      </c>
      <c r="S76" s="20">
        <f>D121</f>
        <v>1450</v>
      </c>
      <c r="U76" s="150" t="str">
        <f>A122</f>
        <v xml:space="preserve">Л.С-3  (R) </v>
      </c>
      <c r="V76" s="150" t="str">
        <f>B122</f>
        <v>Дверь низкая стекло (для Л.СТ-1,  Л.СТ-2,  Л.СТ-3, Л.СУ-1,  Л.СУ-2, Л.СУ-3)</v>
      </c>
      <c r="W76" s="150" t="str">
        <f>C122</f>
        <v>361*764x4</v>
      </c>
      <c r="X76" s="20">
        <v>1</v>
      </c>
      <c r="Y76" s="20">
        <f>D122</f>
        <v>1450</v>
      </c>
      <c r="AA76" s="150" t="str">
        <f>A123</f>
        <v>Для Л.С-2</v>
      </c>
      <c r="AB76" s="150" t="str">
        <f>B123</f>
        <v>Комплект фурнитуры для одного стекла</v>
      </c>
      <c r="AC76" s="20"/>
      <c r="AD76" s="20">
        <v>2</v>
      </c>
      <c r="AE76" s="20">
        <f>D123</f>
        <v>605</v>
      </c>
    </row>
    <row r="77" spans="1:31" ht="16.5" customHeight="1" x14ac:dyDescent="0.2">
      <c r="A77" s="7" t="s">
        <v>426</v>
      </c>
      <c r="B77" s="4" t="s">
        <v>427</v>
      </c>
      <c r="C77" s="8" t="s">
        <v>83</v>
      </c>
      <c r="D77" s="10">
        <v>4489</v>
      </c>
      <c r="E77" s="140">
        <f t="shared" si="0"/>
        <v>6149.93</v>
      </c>
      <c r="F77" s="145" t="s">
        <v>428</v>
      </c>
      <c r="G77" s="148"/>
      <c r="I77" s="150" t="str">
        <f>A28</f>
        <v>Л.СУ-3</v>
      </c>
      <c r="J77" s="150" t="str">
        <f>B28</f>
        <v>Стеллаж низкий узкий</v>
      </c>
      <c r="K77" s="150" t="str">
        <f>C28</f>
        <v>412*410*828</v>
      </c>
      <c r="L77" s="20">
        <v>1</v>
      </c>
      <c r="M77" s="20">
        <f>D28</f>
        <v>3232</v>
      </c>
      <c r="O77" s="150" t="str">
        <f t="shared" ref="O77:Q78" si="16">A117</f>
        <v>Л.Д-3 (L)</v>
      </c>
      <c r="P77" s="150" t="str">
        <f t="shared" si="16"/>
        <v>Дверь низкая ЛДСП (для Л.СТ-1, Л.СУ-1, Л.СТ-2, Л.СТ-3, Л.СУ-2, Л.СУ-3)</v>
      </c>
      <c r="Q77" s="150" t="str">
        <f t="shared" si="16"/>
        <v>361*764x18</v>
      </c>
      <c r="R77" s="20">
        <v>1</v>
      </c>
      <c r="S77" s="20">
        <f>D117</f>
        <v>1257</v>
      </c>
      <c r="U77" s="145"/>
      <c r="V77" s="145"/>
      <c r="W77" s="145"/>
      <c r="X77" s="145"/>
      <c r="Y77" s="145"/>
    </row>
    <row r="78" spans="1:31" ht="16.5" customHeight="1" x14ac:dyDescent="0.2">
      <c r="A78" s="7" t="s">
        <v>429</v>
      </c>
      <c r="B78" s="4" t="s">
        <v>427</v>
      </c>
      <c r="C78" s="8" t="s">
        <v>83</v>
      </c>
      <c r="D78" s="10">
        <v>4489</v>
      </c>
      <c r="E78" s="140">
        <f>D78*$G$3</f>
        <v>6149.93</v>
      </c>
      <c r="F78" s="145" t="s">
        <v>430</v>
      </c>
      <c r="G78" s="148"/>
      <c r="I78" s="150" t="str">
        <f>A28</f>
        <v>Л.СУ-3</v>
      </c>
      <c r="J78" s="150" t="str">
        <f>B28</f>
        <v>Стеллаж низкий узкий</v>
      </c>
      <c r="K78" s="150" t="str">
        <f>C28</f>
        <v>412*410*828</v>
      </c>
      <c r="L78" s="20">
        <v>1</v>
      </c>
      <c r="M78" s="20">
        <f>D28</f>
        <v>3232</v>
      </c>
      <c r="O78" s="150" t="str">
        <f t="shared" si="16"/>
        <v xml:space="preserve">Л.Д-3 (R) </v>
      </c>
      <c r="P78" s="150" t="str">
        <f t="shared" si="16"/>
        <v>Дверь низкая ЛДСП (для Л.СТ-1, Л.СУ-1, Л.СТ-2, Л.СТ-3, Л.СУ-2, Л.СУ-3)</v>
      </c>
      <c r="Q78" s="150" t="str">
        <f t="shared" si="16"/>
        <v>361*764x18</v>
      </c>
      <c r="R78" s="20">
        <v>1</v>
      </c>
      <c r="S78" s="20">
        <f>D118</f>
        <v>1257</v>
      </c>
      <c r="U78" s="145"/>
      <c r="V78" s="145"/>
      <c r="W78" s="145"/>
      <c r="X78" s="145"/>
      <c r="Y78" s="145"/>
    </row>
    <row r="79" spans="1:31" ht="16.5" customHeight="1" x14ac:dyDescent="0.2">
      <c r="A79" s="7" t="s">
        <v>431</v>
      </c>
      <c r="B79" s="4" t="s">
        <v>432</v>
      </c>
      <c r="C79" s="8" t="s">
        <v>83</v>
      </c>
      <c r="D79" s="10">
        <v>5287</v>
      </c>
      <c r="E79" s="140">
        <f t="shared" si="0"/>
        <v>7243.1900000000005</v>
      </c>
      <c r="F79" s="145" t="s">
        <v>433</v>
      </c>
      <c r="G79" s="148"/>
      <c r="I79" s="150" t="str">
        <f>A28</f>
        <v>Л.СУ-3</v>
      </c>
      <c r="J79" s="150" t="str">
        <f>B28</f>
        <v>Стеллаж низкий узкий</v>
      </c>
      <c r="K79" s="150" t="str">
        <f>C28</f>
        <v>412*410*828</v>
      </c>
      <c r="L79" s="20">
        <v>1</v>
      </c>
      <c r="M79" s="20">
        <f>D28</f>
        <v>3232</v>
      </c>
      <c r="O79" s="150" t="str">
        <f t="shared" ref="O79:Q80" si="17">A121</f>
        <v>Л.С-3 (L)</v>
      </c>
      <c r="P79" s="150" t="str">
        <f t="shared" si="17"/>
        <v>Дверь низкая стекло (для Л.СТ-1,  Л.СТ-2,  Л.СТ-3, Л.СУ-1,  Л.СУ-2, Л.СУ-3)</v>
      </c>
      <c r="Q79" s="150" t="str">
        <f t="shared" si="17"/>
        <v>361*764x4</v>
      </c>
      <c r="R79" s="20">
        <v>1</v>
      </c>
      <c r="S79" s="20">
        <f>D121</f>
        <v>1450</v>
      </c>
      <c r="U79" s="150" t="str">
        <f>A123</f>
        <v>Для Л.С-2</v>
      </c>
      <c r="V79" s="150" t="str">
        <f>B123</f>
        <v>Комплект фурнитуры для одного стекла</v>
      </c>
      <c r="W79" s="20"/>
      <c r="X79" s="20">
        <v>1</v>
      </c>
      <c r="Y79" s="20">
        <f>D123</f>
        <v>605</v>
      </c>
    </row>
    <row r="80" spans="1:31" ht="16.5" customHeight="1" x14ac:dyDescent="0.2">
      <c r="A80" s="7" t="s">
        <v>434</v>
      </c>
      <c r="B80" s="4" t="s">
        <v>432</v>
      </c>
      <c r="C80" s="8" t="s">
        <v>83</v>
      </c>
      <c r="D80" s="10">
        <v>5287</v>
      </c>
      <c r="E80" s="140">
        <f>D80*$G$3</f>
        <v>7243.1900000000005</v>
      </c>
      <c r="F80" s="145" t="s">
        <v>435</v>
      </c>
      <c r="G80" s="148"/>
      <c r="I80" s="150" t="str">
        <f>A28</f>
        <v>Л.СУ-3</v>
      </c>
      <c r="J80" s="150" t="str">
        <f>B28</f>
        <v>Стеллаж низкий узкий</v>
      </c>
      <c r="K80" s="150" t="str">
        <f>C28</f>
        <v>412*410*828</v>
      </c>
      <c r="L80" s="20">
        <v>1</v>
      </c>
      <c r="M80" s="20">
        <f>D28</f>
        <v>3232</v>
      </c>
      <c r="O80" s="150" t="str">
        <f t="shared" si="17"/>
        <v xml:space="preserve">Л.С-3  (R) </v>
      </c>
      <c r="P80" s="150" t="str">
        <f t="shared" si="17"/>
        <v>Дверь низкая стекло (для Л.СТ-1,  Л.СТ-2,  Л.СТ-3, Л.СУ-1,  Л.СУ-2, Л.СУ-3)</v>
      </c>
      <c r="Q80" s="150" t="str">
        <f t="shared" si="17"/>
        <v>361*764x4</v>
      </c>
      <c r="R80" s="20">
        <v>1</v>
      </c>
      <c r="S80" s="20">
        <f>D122</f>
        <v>1450</v>
      </c>
      <c r="U80" s="150" t="str">
        <f>A123</f>
        <v>Для Л.С-2</v>
      </c>
      <c r="V80" s="150" t="str">
        <f>B123</f>
        <v>Комплект фурнитуры для одного стекла</v>
      </c>
      <c r="W80" s="20"/>
      <c r="X80" s="20">
        <v>1</v>
      </c>
      <c r="Y80" s="20">
        <f>D124</f>
        <v>605</v>
      </c>
    </row>
    <row r="81" spans="1:7" ht="16.5" customHeight="1" x14ac:dyDescent="0.2">
      <c r="A81" s="7" t="s">
        <v>163</v>
      </c>
      <c r="B81" s="4" t="s">
        <v>164</v>
      </c>
      <c r="C81" s="8" t="s">
        <v>165</v>
      </c>
      <c r="D81" s="6">
        <v>1944</v>
      </c>
      <c r="E81" s="140">
        <f t="shared" si="0"/>
        <v>2663.28</v>
      </c>
      <c r="F81" s="145" t="s">
        <v>436</v>
      </c>
      <c r="G81" s="148"/>
    </row>
    <row r="82" spans="1:7" ht="16.5" customHeight="1" x14ac:dyDescent="0.2">
      <c r="A82" s="7" t="s">
        <v>166</v>
      </c>
      <c r="B82" s="4" t="s">
        <v>164</v>
      </c>
      <c r="C82" s="8" t="s">
        <v>167</v>
      </c>
      <c r="D82" s="6">
        <v>1673</v>
      </c>
      <c r="E82" s="140">
        <f t="shared" si="0"/>
        <v>2292.0100000000002</v>
      </c>
      <c r="F82" s="145" t="s">
        <v>437</v>
      </c>
      <c r="G82" s="148"/>
    </row>
    <row r="83" spans="1:7" ht="16.5" customHeight="1" x14ac:dyDescent="0.2">
      <c r="A83" s="7" t="s">
        <v>168</v>
      </c>
      <c r="B83" s="4" t="s">
        <v>164</v>
      </c>
      <c r="C83" s="8" t="s">
        <v>169</v>
      </c>
      <c r="D83" s="6">
        <v>2042</v>
      </c>
      <c r="E83" s="140">
        <f t="shared" ref="E83:E153" si="18">D83*$G$3</f>
        <v>2797.5400000000004</v>
      </c>
      <c r="F83" s="145" t="s">
        <v>438</v>
      </c>
      <c r="G83" s="148"/>
    </row>
    <row r="84" spans="1:7" ht="16.5" customHeight="1" x14ac:dyDescent="0.2">
      <c r="A84" s="7" t="s">
        <v>170</v>
      </c>
      <c r="B84" s="4" t="s">
        <v>164</v>
      </c>
      <c r="C84" s="8" t="s">
        <v>171</v>
      </c>
      <c r="D84" s="6">
        <v>1601</v>
      </c>
      <c r="E84" s="140">
        <f t="shared" si="18"/>
        <v>2193.3700000000003</v>
      </c>
      <c r="F84" s="145" t="s">
        <v>439</v>
      </c>
      <c r="G84" s="148"/>
    </row>
    <row r="85" spans="1:7" ht="16.5" customHeight="1" x14ac:dyDescent="0.2">
      <c r="A85" s="7" t="s">
        <v>172</v>
      </c>
      <c r="B85" s="4" t="s">
        <v>164</v>
      </c>
      <c r="C85" s="8" t="s">
        <v>173</v>
      </c>
      <c r="D85" s="6">
        <v>1919</v>
      </c>
      <c r="E85" s="140">
        <f t="shared" si="18"/>
        <v>2629.03</v>
      </c>
      <c r="F85" s="145" t="s">
        <v>440</v>
      </c>
      <c r="G85" s="148"/>
    </row>
    <row r="86" spans="1:7" ht="16.5" customHeight="1" x14ac:dyDescent="0.2">
      <c r="A86" s="7" t="s">
        <v>174</v>
      </c>
      <c r="B86" s="4" t="s">
        <v>164</v>
      </c>
      <c r="C86" s="8" t="s">
        <v>175</v>
      </c>
      <c r="D86" s="6">
        <v>2824</v>
      </c>
      <c r="E86" s="140">
        <f t="shared" si="18"/>
        <v>3868.88</v>
      </c>
      <c r="F86" s="145" t="s">
        <v>441</v>
      </c>
      <c r="G86" s="148"/>
    </row>
    <row r="87" spans="1:7" ht="16.5" customHeight="1" x14ac:dyDescent="0.2">
      <c r="A87" s="7" t="s">
        <v>176</v>
      </c>
      <c r="B87" s="4" t="s">
        <v>164</v>
      </c>
      <c r="C87" s="8" t="s">
        <v>177</v>
      </c>
      <c r="D87" s="6">
        <v>4115</v>
      </c>
      <c r="E87" s="140">
        <f t="shared" si="18"/>
        <v>5637.55</v>
      </c>
      <c r="F87" s="145" t="s">
        <v>442</v>
      </c>
      <c r="G87" s="148"/>
    </row>
    <row r="88" spans="1:7" ht="16.5" customHeight="1" x14ac:dyDescent="0.2">
      <c r="A88" s="7" t="s">
        <v>178</v>
      </c>
      <c r="B88" s="4" t="s">
        <v>164</v>
      </c>
      <c r="C88" s="8" t="s">
        <v>179</v>
      </c>
      <c r="D88" s="6">
        <v>2886</v>
      </c>
      <c r="E88" s="140">
        <f t="shared" si="18"/>
        <v>3953.82</v>
      </c>
      <c r="F88" s="145" t="s">
        <v>443</v>
      </c>
      <c r="G88" s="148"/>
    </row>
    <row r="89" spans="1:7" ht="16.5" customHeight="1" x14ac:dyDescent="0.2">
      <c r="A89" s="7" t="s">
        <v>180</v>
      </c>
      <c r="B89" s="4" t="s">
        <v>164</v>
      </c>
      <c r="C89" s="8" t="s">
        <v>181</v>
      </c>
      <c r="D89" s="6">
        <v>4217</v>
      </c>
      <c r="E89" s="140">
        <f t="shared" si="18"/>
        <v>5777.2900000000009</v>
      </c>
      <c r="F89" s="145" t="s">
        <v>444</v>
      </c>
      <c r="G89" s="148"/>
    </row>
    <row r="90" spans="1:7" ht="16.5" customHeight="1" x14ac:dyDescent="0.2">
      <c r="A90" s="7" t="s">
        <v>182</v>
      </c>
      <c r="B90" s="4" t="s">
        <v>164</v>
      </c>
      <c r="C90" s="8" t="s">
        <v>183</v>
      </c>
      <c r="D90" s="6">
        <v>2807</v>
      </c>
      <c r="E90" s="140">
        <f t="shared" si="18"/>
        <v>3845.59</v>
      </c>
      <c r="F90" s="145" t="s">
        <v>445</v>
      </c>
      <c r="G90" s="148"/>
    </row>
    <row r="91" spans="1:7" ht="16.5" customHeight="1" x14ac:dyDescent="0.2">
      <c r="A91" s="7" t="s">
        <v>184</v>
      </c>
      <c r="B91" s="4" t="s">
        <v>185</v>
      </c>
      <c r="C91" s="8" t="s">
        <v>186</v>
      </c>
      <c r="D91" s="6">
        <v>1139</v>
      </c>
      <c r="E91" s="140">
        <f t="shared" si="18"/>
        <v>1560.43</v>
      </c>
      <c r="F91" s="151" t="s">
        <v>446</v>
      </c>
      <c r="G91" s="148"/>
    </row>
    <row r="92" spans="1:7" ht="16.5" customHeight="1" x14ac:dyDescent="0.2">
      <c r="A92" s="7" t="s">
        <v>187</v>
      </c>
      <c r="B92" s="4" t="s">
        <v>188</v>
      </c>
      <c r="C92" s="8" t="s">
        <v>189</v>
      </c>
      <c r="D92" s="6">
        <v>3535</v>
      </c>
      <c r="E92" s="140">
        <f t="shared" si="18"/>
        <v>4842.9500000000007</v>
      </c>
      <c r="F92" s="145" t="s">
        <v>447</v>
      </c>
      <c r="G92" s="148"/>
    </row>
    <row r="93" spans="1:7" ht="16.5" customHeight="1" x14ac:dyDescent="0.2">
      <c r="A93" s="7" t="s">
        <v>190</v>
      </c>
      <c r="B93" s="4" t="s">
        <v>191</v>
      </c>
      <c r="C93" s="8" t="s">
        <v>192</v>
      </c>
      <c r="D93" s="6">
        <v>2710</v>
      </c>
      <c r="E93" s="140">
        <f t="shared" si="18"/>
        <v>3712.7000000000003</v>
      </c>
      <c r="F93" s="145" t="s">
        <v>448</v>
      </c>
      <c r="G93" s="148"/>
    </row>
    <row r="94" spans="1:7" ht="16.5" customHeight="1" x14ac:dyDescent="0.2">
      <c r="A94" s="7" t="s">
        <v>193</v>
      </c>
      <c r="B94" s="4" t="s">
        <v>191</v>
      </c>
      <c r="C94" s="8" t="s">
        <v>194</v>
      </c>
      <c r="D94" s="6">
        <v>2868</v>
      </c>
      <c r="E94" s="140">
        <f t="shared" si="18"/>
        <v>3929.1600000000003</v>
      </c>
      <c r="F94" s="145" t="s">
        <v>449</v>
      </c>
      <c r="G94" s="148"/>
    </row>
    <row r="95" spans="1:7" ht="16.5" customHeight="1" x14ac:dyDescent="0.2">
      <c r="A95" s="7"/>
      <c r="B95" s="4"/>
      <c r="C95" s="8"/>
      <c r="D95" s="10"/>
      <c r="E95" s="140"/>
      <c r="G95" s="148"/>
    </row>
    <row r="96" spans="1:7" ht="16.5" customHeight="1" x14ac:dyDescent="0.2">
      <c r="A96" s="7"/>
      <c r="B96" s="4"/>
      <c r="C96" s="8"/>
      <c r="D96" s="10"/>
      <c r="E96" s="140"/>
      <c r="F96" s="149"/>
      <c r="G96" s="148"/>
    </row>
    <row r="97" spans="1:7" ht="16.5" customHeight="1" x14ac:dyDescent="0.2">
      <c r="A97" s="7"/>
      <c r="B97" s="4"/>
      <c r="C97" s="8"/>
      <c r="D97" s="10"/>
      <c r="E97" s="140"/>
      <c r="G97" s="148"/>
    </row>
    <row r="98" spans="1:7" ht="16.5" customHeight="1" x14ac:dyDescent="0.2">
      <c r="A98" s="7"/>
      <c r="B98" s="4"/>
      <c r="C98" s="8"/>
      <c r="D98" s="10"/>
      <c r="E98" s="140"/>
      <c r="G98" s="148"/>
    </row>
    <row r="99" spans="1:7" ht="16.5" customHeight="1" x14ac:dyDescent="0.2">
      <c r="A99" s="7"/>
      <c r="B99" s="4"/>
      <c r="C99" s="8"/>
      <c r="D99" s="10"/>
      <c r="E99" s="140"/>
      <c r="F99" s="149"/>
      <c r="G99" s="148"/>
    </row>
    <row r="100" spans="1:7" ht="16.5" customHeight="1" x14ac:dyDescent="0.2">
      <c r="A100" s="7"/>
      <c r="B100" s="11"/>
      <c r="C100" s="9"/>
      <c r="D100" s="6"/>
      <c r="E100" s="140"/>
      <c r="G100" s="148"/>
    </row>
    <row r="101" spans="1:7" ht="16.5" customHeight="1" x14ac:dyDescent="0.2">
      <c r="A101" s="7"/>
      <c r="B101" s="11"/>
      <c r="C101" s="9"/>
      <c r="D101" s="6"/>
      <c r="E101" s="140"/>
      <c r="G101" s="148"/>
    </row>
    <row r="102" spans="1:7" ht="16.5" customHeight="1" x14ac:dyDescent="0.2">
      <c r="A102" s="7"/>
      <c r="B102" s="11"/>
      <c r="C102" s="9"/>
      <c r="D102" s="6"/>
      <c r="E102" s="140"/>
      <c r="G102" s="148"/>
    </row>
    <row r="103" spans="1:7" ht="16.5" customHeight="1" x14ac:dyDescent="0.2">
      <c r="A103" s="7"/>
      <c r="B103" s="11"/>
      <c r="C103" s="9"/>
      <c r="D103" s="6"/>
      <c r="E103" s="140"/>
      <c r="G103" s="148"/>
    </row>
    <row r="104" spans="1:7" ht="16.5" customHeight="1" x14ac:dyDescent="0.2">
      <c r="A104" s="7"/>
      <c r="B104" s="11"/>
      <c r="C104" s="9"/>
      <c r="D104" s="6"/>
      <c r="E104" s="140"/>
      <c r="G104" s="148"/>
    </row>
    <row r="105" spans="1:7" ht="16.5" customHeight="1" x14ac:dyDescent="0.2">
      <c r="A105" s="7" t="s">
        <v>195</v>
      </c>
      <c r="B105" s="12" t="s">
        <v>196</v>
      </c>
      <c r="C105" s="8" t="s">
        <v>197</v>
      </c>
      <c r="D105" s="6">
        <v>1965</v>
      </c>
      <c r="E105" s="140">
        <f t="shared" si="18"/>
        <v>2692.05</v>
      </c>
      <c r="F105" s="145" t="s">
        <v>450</v>
      </c>
      <c r="G105" s="148"/>
    </row>
    <row r="106" spans="1:7" ht="16.5" customHeight="1" x14ac:dyDescent="0.2">
      <c r="A106" s="7" t="s">
        <v>198</v>
      </c>
      <c r="B106" s="4" t="s">
        <v>199</v>
      </c>
      <c r="C106" s="8" t="s">
        <v>200</v>
      </c>
      <c r="D106" s="6">
        <v>342</v>
      </c>
      <c r="E106" s="140">
        <f t="shared" si="18"/>
        <v>468.54</v>
      </c>
      <c r="F106" s="145" t="s">
        <v>451</v>
      </c>
      <c r="G106" s="148"/>
    </row>
    <row r="107" spans="1:7" ht="16.5" customHeight="1" x14ac:dyDescent="0.2">
      <c r="A107" s="7" t="s">
        <v>201</v>
      </c>
      <c r="B107" s="4" t="s">
        <v>202</v>
      </c>
      <c r="C107" s="8"/>
      <c r="D107" s="6">
        <v>286</v>
      </c>
      <c r="E107" s="140">
        <f t="shared" si="18"/>
        <v>391.82000000000005</v>
      </c>
      <c r="F107" s="145" t="s">
        <v>452</v>
      </c>
      <c r="G107" s="148"/>
    </row>
    <row r="108" spans="1:7" ht="16.5" customHeight="1" x14ac:dyDescent="0.2">
      <c r="A108" s="7" t="s">
        <v>203</v>
      </c>
      <c r="B108" s="4" t="s">
        <v>204</v>
      </c>
      <c r="C108" s="8"/>
      <c r="D108" s="6">
        <v>348</v>
      </c>
      <c r="E108" s="140">
        <f t="shared" si="18"/>
        <v>476.76000000000005</v>
      </c>
      <c r="F108" s="145" t="s">
        <v>453</v>
      </c>
      <c r="G108" s="148"/>
    </row>
    <row r="109" spans="1:7" ht="16.5" customHeight="1" x14ac:dyDescent="0.2">
      <c r="A109" s="13" t="s">
        <v>205</v>
      </c>
      <c r="B109" s="4" t="s">
        <v>206</v>
      </c>
      <c r="C109" s="8"/>
      <c r="D109" s="6">
        <v>397</v>
      </c>
      <c r="E109" s="140">
        <f t="shared" si="18"/>
        <v>543.89</v>
      </c>
      <c r="F109" s="145" t="s">
        <v>454</v>
      </c>
      <c r="G109" s="148"/>
    </row>
    <row r="110" spans="1:7" ht="16.5" customHeight="1" x14ac:dyDescent="0.2">
      <c r="A110" s="13" t="s">
        <v>207</v>
      </c>
      <c r="B110" s="4" t="s">
        <v>208</v>
      </c>
      <c r="C110" s="8"/>
      <c r="D110" s="6">
        <v>460</v>
      </c>
      <c r="E110" s="140">
        <f t="shared" si="18"/>
        <v>630.20000000000005</v>
      </c>
      <c r="F110" s="145" t="s">
        <v>455</v>
      </c>
      <c r="G110" s="148"/>
    </row>
    <row r="111" spans="1:7" ht="16.5" customHeight="1" x14ac:dyDescent="0.2">
      <c r="A111" s="7" t="s">
        <v>284</v>
      </c>
      <c r="B111" s="4" t="s">
        <v>285</v>
      </c>
      <c r="C111" s="8" t="s">
        <v>89</v>
      </c>
      <c r="D111" s="6">
        <v>9132</v>
      </c>
      <c r="E111" s="140">
        <f t="shared" si="18"/>
        <v>12510.84</v>
      </c>
      <c r="F111" s="145" t="s">
        <v>456</v>
      </c>
      <c r="G111" s="148"/>
    </row>
    <row r="112" spans="1:7" ht="16.5" customHeight="1" x14ac:dyDescent="0.2">
      <c r="A112" s="7" t="s">
        <v>286</v>
      </c>
      <c r="B112" s="4" t="s">
        <v>287</v>
      </c>
      <c r="C112" s="8" t="s">
        <v>68</v>
      </c>
      <c r="D112" s="6">
        <v>11261</v>
      </c>
      <c r="E112" s="140">
        <f t="shared" si="18"/>
        <v>15427.570000000002</v>
      </c>
      <c r="F112" s="145" t="s">
        <v>457</v>
      </c>
      <c r="G112" s="148"/>
    </row>
    <row r="113" spans="1:7" ht="16.5" customHeight="1" x14ac:dyDescent="0.2">
      <c r="A113" s="7" t="s">
        <v>458</v>
      </c>
      <c r="B113" s="4" t="s">
        <v>289</v>
      </c>
      <c r="C113" s="8" t="s">
        <v>616</v>
      </c>
      <c r="D113" s="6">
        <v>2238</v>
      </c>
      <c r="E113" s="140">
        <f t="shared" si="18"/>
        <v>3066.0600000000004</v>
      </c>
      <c r="F113" s="145" t="s">
        <v>459</v>
      </c>
      <c r="G113" s="148"/>
    </row>
    <row r="114" spans="1:7" ht="16.5" customHeight="1" x14ac:dyDescent="0.2">
      <c r="A114" s="7" t="s">
        <v>460</v>
      </c>
      <c r="B114" s="4" t="s">
        <v>289</v>
      </c>
      <c r="C114" s="8" t="s">
        <v>616</v>
      </c>
      <c r="D114" s="6">
        <v>2238</v>
      </c>
      <c r="E114" s="140">
        <f t="shared" si="18"/>
        <v>3066.0600000000004</v>
      </c>
      <c r="F114" s="145" t="s">
        <v>461</v>
      </c>
      <c r="G114" s="148"/>
    </row>
    <row r="115" spans="1:7" ht="16.5" customHeight="1" x14ac:dyDescent="0.2">
      <c r="A115" s="7" t="s">
        <v>462</v>
      </c>
      <c r="B115" s="4" t="s">
        <v>463</v>
      </c>
      <c r="C115" s="8" t="s">
        <v>617</v>
      </c>
      <c r="D115" s="6">
        <v>1519</v>
      </c>
      <c r="E115" s="140">
        <f t="shared" si="18"/>
        <v>2081.0300000000002</v>
      </c>
      <c r="F115" s="145" t="s">
        <v>464</v>
      </c>
      <c r="G115" s="148"/>
    </row>
    <row r="116" spans="1:7" ht="16.5" customHeight="1" x14ac:dyDescent="0.2">
      <c r="A116" s="7" t="s">
        <v>465</v>
      </c>
      <c r="B116" s="4" t="s">
        <v>463</v>
      </c>
      <c r="C116" s="8" t="s">
        <v>617</v>
      </c>
      <c r="D116" s="6">
        <v>1519</v>
      </c>
      <c r="E116" s="140">
        <f t="shared" si="18"/>
        <v>2081.0300000000002</v>
      </c>
      <c r="F116" s="145" t="s">
        <v>464</v>
      </c>
      <c r="G116" s="148"/>
    </row>
    <row r="117" spans="1:7" ht="16.5" customHeight="1" x14ac:dyDescent="0.2">
      <c r="A117" s="7" t="s">
        <v>466</v>
      </c>
      <c r="B117" s="4" t="s">
        <v>467</v>
      </c>
      <c r="C117" s="8" t="s">
        <v>618</v>
      </c>
      <c r="D117" s="6">
        <v>1257</v>
      </c>
      <c r="E117" s="140">
        <f t="shared" si="18"/>
        <v>1722.0900000000001</v>
      </c>
      <c r="F117" s="145" t="s">
        <v>468</v>
      </c>
      <c r="G117" s="148"/>
    </row>
    <row r="118" spans="1:7" ht="16.5" customHeight="1" x14ac:dyDescent="0.2">
      <c r="A118" s="7" t="s">
        <v>469</v>
      </c>
      <c r="B118" s="4" t="s">
        <v>467</v>
      </c>
      <c r="C118" s="8" t="s">
        <v>618</v>
      </c>
      <c r="D118" s="6">
        <v>1257</v>
      </c>
      <c r="E118" s="140">
        <f t="shared" si="18"/>
        <v>1722.0900000000001</v>
      </c>
      <c r="F118" s="145" t="s">
        <v>470</v>
      </c>
      <c r="G118" s="148"/>
    </row>
    <row r="119" spans="1:7" ht="16.5" customHeight="1" x14ac:dyDescent="0.2">
      <c r="A119" s="7" t="s">
        <v>471</v>
      </c>
      <c r="B119" s="4" t="s">
        <v>298</v>
      </c>
      <c r="C119" s="8" t="s">
        <v>619</v>
      </c>
      <c r="D119" s="6">
        <v>1780</v>
      </c>
      <c r="E119" s="140">
        <f t="shared" si="18"/>
        <v>2438.6000000000004</v>
      </c>
      <c r="F119" s="145" t="s">
        <v>472</v>
      </c>
      <c r="G119" s="148"/>
    </row>
    <row r="120" spans="1:7" ht="16.5" customHeight="1" x14ac:dyDescent="0.2">
      <c r="A120" s="7" t="s">
        <v>473</v>
      </c>
      <c r="B120" s="4" t="s">
        <v>298</v>
      </c>
      <c r="C120" s="8" t="s">
        <v>619</v>
      </c>
      <c r="D120" s="6">
        <v>1780</v>
      </c>
      <c r="E120" s="140">
        <f t="shared" si="18"/>
        <v>2438.6000000000004</v>
      </c>
      <c r="F120" s="145" t="s">
        <v>472</v>
      </c>
      <c r="G120" s="148"/>
    </row>
    <row r="121" spans="1:7" ht="16.5" customHeight="1" x14ac:dyDescent="0.2">
      <c r="A121" s="7" t="s">
        <v>474</v>
      </c>
      <c r="B121" s="4" t="s">
        <v>301</v>
      </c>
      <c r="C121" s="8" t="s">
        <v>620</v>
      </c>
      <c r="D121" s="6">
        <v>1450</v>
      </c>
      <c r="E121" s="140">
        <f t="shared" si="18"/>
        <v>1986.5000000000002</v>
      </c>
      <c r="F121" s="145" t="s">
        <v>475</v>
      </c>
      <c r="G121" s="148"/>
    </row>
    <row r="122" spans="1:7" ht="16.5" customHeight="1" x14ac:dyDescent="0.2">
      <c r="A122" s="7" t="s">
        <v>476</v>
      </c>
      <c r="B122" s="4" t="s">
        <v>301</v>
      </c>
      <c r="C122" s="8" t="s">
        <v>620</v>
      </c>
      <c r="D122" s="6">
        <v>1450</v>
      </c>
      <c r="E122" s="140">
        <f t="shared" si="18"/>
        <v>1986.5000000000002</v>
      </c>
      <c r="F122" s="145" t="s">
        <v>477</v>
      </c>
      <c r="G122" s="148"/>
    </row>
    <row r="123" spans="1:7" ht="16.5" customHeight="1" x14ac:dyDescent="0.2">
      <c r="A123" s="7" t="s">
        <v>303</v>
      </c>
      <c r="B123" s="4" t="s">
        <v>304</v>
      </c>
      <c r="C123" s="8"/>
      <c r="D123" s="6">
        <v>605</v>
      </c>
      <c r="E123" s="140">
        <f t="shared" si="18"/>
        <v>828.85</v>
      </c>
      <c r="F123" s="145" t="s">
        <v>478</v>
      </c>
      <c r="G123" s="148"/>
    </row>
    <row r="124" spans="1:7" ht="16.5" customHeight="1" x14ac:dyDescent="0.2">
      <c r="A124" s="7" t="s">
        <v>305</v>
      </c>
      <c r="B124" s="4" t="s">
        <v>304</v>
      </c>
      <c r="C124" s="8"/>
      <c r="D124" s="6">
        <v>605</v>
      </c>
      <c r="E124" s="140">
        <f t="shared" si="18"/>
        <v>828.85</v>
      </c>
      <c r="F124" s="145" t="s">
        <v>478</v>
      </c>
      <c r="G124" s="148"/>
    </row>
    <row r="125" spans="1:7" ht="16.5" customHeight="1" x14ac:dyDescent="0.2">
      <c r="A125" s="2" t="s">
        <v>215</v>
      </c>
      <c r="B125" s="4" t="s">
        <v>216</v>
      </c>
      <c r="C125" s="9" t="s">
        <v>217</v>
      </c>
      <c r="D125" s="6">
        <v>8039</v>
      </c>
      <c r="E125" s="140">
        <f t="shared" si="18"/>
        <v>11013.43</v>
      </c>
      <c r="F125" s="145" t="s">
        <v>479</v>
      </c>
      <c r="G125" s="148"/>
    </row>
    <row r="126" spans="1:7" ht="16.5" customHeight="1" x14ac:dyDescent="0.2">
      <c r="A126" s="2" t="s">
        <v>218</v>
      </c>
      <c r="B126" s="4" t="s">
        <v>216</v>
      </c>
      <c r="C126" s="9" t="s">
        <v>219</v>
      </c>
      <c r="D126" s="6">
        <v>9269</v>
      </c>
      <c r="E126" s="140">
        <f t="shared" si="18"/>
        <v>12698.53</v>
      </c>
      <c r="F126" s="145" t="s">
        <v>480</v>
      </c>
      <c r="G126" s="148"/>
    </row>
    <row r="127" spans="1:7" ht="16.5" customHeight="1" x14ac:dyDescent="0.2">
      <c r="A127" s="2" t="s">
        <v>220</v>
      </c>
      <c r="B127" s="4" t="s">
        <v>216</v>
      </c>
      <c r="C127" s="9" t="s">
        <v>221</v>
      </c>
      <c r="D127" s="6">
        <v>10612</v>
      </c>
      <c r="E127" s="140">
        <f t="shared" si="18"/>
        <v>14538.44</v>
      </c>
      <c r="F127" s="145" t="s">
        <v>481</v>
      </c>
      <c r="G127" s="148"/>
    </row>
    <row r="128" spans="1:7" ht="16.5" customHeight="1" x14ac:dyDescent="0.2">
      <c r="A128" s="2" t="s">
        <v>222</v>
      </c>
      <c r="B128" s="4" t="s">
        <v>216</v>
      </c>
      <c r="C128" s="9" t="s">
        <v>223</v>
      </c>
      <c r="D128" s="6">
        <v>11812</v>
      </c>
      <c r="E128" s="140">
        <f t="shared" si="18"/>
        <v>16182.44</v>
      </c>
      <c r="F128" s="145" t="s">
        <v>482</v>
      </c>
      <c r="G128" s="148"/>
    </row>
    <row r="129" spans="1:7" ht="16.5" customHeight="1" x14ac:dyDescent="0.2">
      <c r="A129" s="2" t="s">
        <v>224</v>
      </c>
      <c r="B129" s="4" t="s">
        <v>216</v>
      </c>
      <c r="C129" s="9" t="s">
        <v>225</v>
      </c>
      <c r="D129" s="6">
        <v>13407</v>
      </c>
      <c r="E129" s="140">
        <f t="shared" si="18"/>
        <v>18367.59</v>
      </c>
      <c r="F129" s="145" t="s">
        <v>483</v>
      </c>
      <c r="G129" s="148"/>
    </row>
    <row r="130" spans="1:7" ht="16.5" customHeight="1" x14ac:dyDescent="0.2">
      <c r="A130" s="2" t="s">
        <v>484</v>
      </c>
      <c r="B130" s="14" t="s">
        <v>227</v>
      </c>
      <c r="C130" s="9" t="s">
        <v>228</v>
      </c>
      <c r="D130" s="6">
        <v>13532</v>
      </c>
      <c r="E130" s="140">
        <f t="shared" si="18"/>
        <v>18538.84</v>
      </c>
      <c r="F130" s="145" t="s">
        <v>485</v>
      </c>
      <c r="G130" s="148"/>
    </row>
    <row r="131" spans="1:7" ht="16.5" customHeight="1" x14ac:dyDescent="0.2">
      <c r="A131" s="2" t="s">
        <v>486</v>
      </c>
      <c r="B131" s="14" t="s">
        <v>230</v>
      </c>
      <c r="C131" s="9" t="s">
        <v>228</v>
      </c>
      <c r="D131" s="6">
        <v>13532</v>
      </c>
      <c r="E131" s="140">
        <f t="shared" si="18"/>
        <v>18538.84</v>
      </c>
      <c r="F131" s="145" t="s">
        <v>487</v>
      </c>
      <c r="G131" s="148"/>
    </row>
    <row r="132" spans="1:7" ht="16.5" customHeight="1" x14ac:dyDescent="0.2">
      <c r="A132" s="2" t="s">
        <v>488</v>
      </c>
      <c r="B132" s="4" t="s">
        <v>232</v>
      </c>
      <c r="C132" s="9" t="s">
        <v>233</v>
      </c>
      <c r="D132" s="6">
        <v>3053</v>
      </c>
      <c r="E132" s="140">
        <f t="shared" si="18"/>
        <v>4182.6100000000006</v>
      </c>
      <c r="F132" s="145" t="s">
        <v>489</v>
      </c>
      <c r="G132" s="148"/>
    </row>
    <row r="133" spans="1:7" ht="16.5" customHeight="1" x14ac:dyDescent="0.2">
      <c r="A133" s="2" t="s">
        <v>490</v>
      </c>
      <c r="B133" s="4" t="s">
        <v>235</v>
      </c>
      <c r="C133" s="9" t="s">
        <v>233</v>
      </c>
      <c r="D133" s="6">
        <v>3053</v>
      </c>
      <c r="E133" s="140">
        <f t="shared" si="18"/>
        <v>4182.6100000000006</v>
      </c>
      <c r="F133" s="145" t="s">
        <v>491</v>
      </c>
      <c r="G133" s="148"/>
    </row>
    <row r="134" spans="1:7" ht="16.5" customHeight="1" x14ac:dyDescent="0.2">
      <c r="A134" s="2" t="s">
        <v>492</v>
      </c>
      <c r="B134" s="4" t="s">
        <v>237</v>
      </c>
      <c r="C134" s="9" t="s">
        <v>238</v>
      </c>
      <c r="D134" s="6">
        <v>1431</v>
      </c>
      <c r="E134" s="140">
        <f t="shared" si="18"/>
        <v>1960.4700000000003</v>
      </c>
      <c r="F134" s="145" t="s">
        <v>493</v>
      </c>
      <c r="G134" s="148"/>
    </row>
    <row r="135" spans="1:7" ht="16.5" customHeight="1" x14ac:dyDescent="0.2">
      <c r="A135" s="2" t="s">
        <v>494</v>
      </c>
      <c r="B135" s="4" t="s">
        <v>240</v>
      </c>
      <c r="C135" s="9" t="s">
        <v>238</v>
      </c>
      <c r="D135" s="6">
        <v>1431</v>
      </c>
      <c r="E135" s="140">
        <f t="shared" si="18"/>
        <v>1960.4700000000003</v>
      </c>
      <c r="F135" s="145" t="s">
        <v>495</v>
      </c>
      <c r="G135" s="148"/>
    </row>
    <row r="136" spans="1:7" ht="16.5" customHeight="1" x14ac:dyDescent="0.2">
      <c r="A136" s="2" t="s">
        <v>241</v>
      </c>
      <c r="B136" s="4" t="s">
        <v>496</v>
      </c>
      <c r="C136" s="9" t="s">
        <v>243</v>
      </c>
      <c r="D136" s="6">
        <v>1954</v>
      </c>
      <c r="E136" s="140">
        <f t="shared" si="18"/>
        <v>2676.98</v>
      </c>
      <c r="F136" s="145" t="s">
        <v>497</v>
      </c>
      <c r="G136" s="148"/>
    </row>
    <row r="137" spans="1:7" ht="16.5" customHeight="1" x14ac:dyDescent="0.2">
      <c r="A137" s="2" t="s">
        <v>244</v>
      </c>
      <c r="B137" s="4" t="s">
        <v>498</v>
      </c>
      <c r="C137" s="9" t="s">
        <v>246</v>
      </c>
      <c r="D137" s="6">
        <v>2390</v>
      </c>
      <c r="E137" s="140">
        <f t="shared" si="18"/>
        <v>3274.3</v>
      </c>
      <c r="F137" s="145" t="s">
        <v>499</v>
      </c>
      <c r="G137" s="148"/>
    </row>
    <row r="138" spans="1:7" ht="16.5" customHeight="1" x14ac:dyDescent="0.2">
      <c r="A138" s="2" t="s">
        <v>247</v>
      </c>
      <c r="B138" s="4" t="s">
        <v>500</v>
      </c>
      <c r="C138" s="9" t="s">
        <v>249</v>
      </c>
      <c r="D138" s="6">
        <v>2785</v>
      </c>
      <c r="E138" s="140">
        <f t="shared" si="18"/>
        <v>3815.4500000000003</v>
      </c>
      <c r="F138" s="145" t="s">
        <v>501</v>
      </c>
      <c r="G138" s="148"/>
    </row>
    <row r="139" spans="1:7" ht="16.5" customHeight="1" x14ac:dyDescent="0.2">
      <c r="A139" s="2" t="s">
        <v>250</v>
      </c>
      <c r="B139" s="4" t="s">
        <v>502</v>
      </c>
      <c r="C139" s="9" t="s">
        <v>252</v>
      </c>
      <c r="D139" s="6">
        <v>3154</v>
      </c>
      <c r="E139" s="140">
        <f t="shared" si="18"/>
        <v>4320.9800000000005</v>
      </c>
      <c r="F139" s="145" t="s">
        <v>503</v>
      </c>
      <c r="G139" s="148"/>
    </row>
    <row r="140" spans="1:7" ht="16.5" customHeight="1" x14ac:dyDescent="0.2">
      <c r="A140" s="2" t="s">
        <v>253</v>
      </c>
      <c r="B140" s="4" t="s">
        <v>504</v>
      </c>
      <c r="C140" s="9" t="s">
        <v>255</v>
      </c>
      <c r="D140" s="6">
        <v>3653</v>
      </c>
      <c r="E140" s="140">
        <f t="shared" si="18"/>
        <v>5004.6100000000006</v>
      </c>
      <c r="F140" s="145" t="s">
        <v>505</v>
      </c>
      <c r="G140" s="148"/>
    </row>
    <row r="141" spans="1:7" ht="16.5" customHeight="1" x14ac:dyDescent="0.2">
      <c r="A141" s="2" t="s">
        <v>256</v>
      </c>
      <c r="B141" s="4" t="s">
        <v>257</v>
      </c>
      <c r="C141" s="9" t="s">
        <v>243</v>
      </c>
      <c r="D141" s="15">
        <v>6605</v>
      </c>
      <c r="E141" s="140">
        <f t="shared" si="18"/>
        <v>9048.85</v>
      </c>
      <c r="F141" s="145" t="s">
        <v>506</v>
      </c>
      <c r="G141" s="148"/>
    </row>
    <row r="142" spans="1:7" ht="16.5" customHeight="1" x14ac:dyDescent="0.2">
      <c r="A142" s="2" t="s">
        <v>258</v>
      </c>
      <c r="B142" s="4" t="s">
        <v>259</v>
      </c>
      <c r="C142" s="9" t="s">
        <v>246</v>
      </c>
      <c r="D142" s="15">
        <v>7428</v>
      </c>
      <c r="E142" s="140">
        <f t="shared" si="18"/>
        <v>10176.36</v>
      </c>
      <c r="F142" s="145" t="s">
        <v>507</v>
      </c>
      <c r="G142" s="148"/>
    </row>
    <row r="143" spans="1:7" ht="16.5" customHeight="1" x14ac:dyDescent="0.2">
      <c r="A143" s="2" t="s">
        <v>260</v>
      </c>
      <c r="B143" s="4" t="s">
        <v>261</v>
      </c>
      <c r="C143" s="9" t="s">
        <v>249</v>
      </c>
      <c r="D143" s="15">
        <v>8207</v>
      </c>
      <c r="E143" s="140">
        <f t="shared" si="18"/>
        <v>11243.59</v>
      </c>
      <c r="F143" s="145" t="s">
        <v>508</v>
      </c>
      <c r="G143" s="148"/>
    </row>
    <row r="144" spans="1:7" ht="16.5" customHeight="1" x14ac:dyDescent="0.2">
      <c r="A144" s="2" t="s">
        <v>262</v>
      </c>
      <c r="B144" s="4" t="s">
        <v>263</v>
      </c>
      <c r="C144" s="9" t="s">
        <v>252</v>
      </c>
      <c r="D144" s="15">
        <v>8427</v>
      </c>
      <c r="E144" s="140">
        <f t="shared" si="18"/>
        <v>11544.990000000002</v>
      </c>
      <c r="F144" s="145" t="s">
        <v>509</v>
      </c>
      <c r="G144" s="148"/>
    </row>
    <row r="145" spans="1:25" ht="16.5" customHeight="1" x14ac:dyDescent="0.2">
      <c r="A145" s="2" t="s">
        <v>264</v>
      </c>
      <c r="B145" s="4" t="s">
        <v>265</v>
      </c>
      <c r="C145" s="9" t="s">
        <v>255</v>
      </c>
      <c r="D145" s="15">
        <v>9230</v>
      </c>
      <c r="E145" s="140">
        <f t="shared" si="18"/>
        <v>12645.1</v>
      </c>
      <c r="F145" s="145" t="s">
        <v>510</v>
      </c>
      <c r="G145" s="148"/>
    </row>
    <row r="146" spans="1:25" ht="16.5" customHeight="1" x14ac:dyDescent="0.2">
      <c r="A146" s="2" t="s">
        <v>266</v>
      </c>
      <c r="B146" s="14" t="s">
        <v>511</v>
      </c>
      <c r="C146" s="9" t="s">
        <v>512</v>
      </c>
      <c r="D146" s="6">
        <v>2653</v>
      </c>
      <c r="E146" s="140">
        <f t="shared" si="18"/>
        <v>3634.61</v>
      </c>
      <c r="F146" s="145" t="s">
        <v>513</v>
      </c>
      <c r="G146" s="148"/>
    </row>
    <row r="147" spans="1:25" ht="16.5" customHeight="1" x14ac:dyDescent="0.2">
      <c r="A147" s="16" t="s">
        <v>584</v>
      </c>
      <c r="B147" s="17" t="s">
        <v>585</v>
      </c>
      <c r="C147" s="18" t="s">
        <v>586</v>
      </c>
      <c r="D147" s="19">
        <v>8183</v>
      </c>
      <c r="E147" s="140">
        <f t="shared" ref="E147:E148" si="19">D147*$G$3</f>
        <v>11210.710000000001</v>
      </c>
      <c r="F147" s="152" t="s">
        <v>629</v>
      </c>
      <c r="G147" s="148"/>
      <c r="I147" s="153" t="str">
        <f t="shared" ref="I147:K148" si="20">A168</f>
        <v>UNE.SSJ-1.22</v>
      </c>
      <c r="J147" s="153" t="str">
        <f t="shared" si="20"/>
        <v>Столешница круглая стола журнального</v>
      </c>
      <c r="K147" s="153" t="str">
        <f t="shared" si="20"/>
        <v>600*600*22</v>
      </c>
      <c r="L147" s="20">
        <v>1</v>
      </c>
      <c r="M147" s="20">
        <f t="shared" ref="M147:M152" si="21">D168</f>
        <v>1433</v>
      </c>
      <c r="O147" s="153" t="str">
        <f t="shared" ref="O147" si="22">A174</f>
        <v>КРУГ.ОСН-36</v>
      </c>
      <c r="P147" s="20" t="str">
        <f t="shared" ref="P147" si="23">B174</f>
        <v>Основание стола круглое D = 360*8</v>
      </c>
      <c r="Q147" s="20" t="str">
        <f t="shared" ref="Q147" si="24">C174</f>
        <v>360*360*8</v>
      </c>
      <c r="R147" s="20">
        <v>1</v>
      </c>
      <c r="S147" s="20">
        <f>D174</f>
        <v>4836</v>
      </c>
      <c r="U147" s="153" t="str">
        <f t="shared" ref="U147:U148" si="25">A178</f>
        <v>КРУГ.ОП-4</v>
      </c>
      <c r="V147" s="20" t="str">
        <f t="shared" ref="V147:V148" si="26">B178</f>
        <v>Опора стола круглая</v>
      </c>
      <c r="W147" s="20" t="str">
        <f t="shared" ref="W147:W148" si="27">C178</f>
        <v>D = 76*411</v>
      </c>
      <c r="X147" s="20">
        <v>1</v>
      </c>
      <c r="Y147" s="20">
        <f t="shared" ref="Y147:Y148" si="28">D178</f>
        <v>1914</v>
      </c>
    </row>
    <row r="148" spans="1:25" ht="16.5" customHeight="1" x14ac:dyDescent="0.2">
      <c r="A148" s="16" t="s">
        <v>587</v>
      </c>
      <c r="B148" s="17" t="s">
        <v>588</v>
      </c>
      <c r="C148" s="18" t="s">
        <v>586</v>
      </c>
      <c r="D148" s="19">
        <v>8722</v>
      </c>
      <c r="E148" s="140">
        <f t="shared" si="19"/>
        <v>11949.140000000001</v>
      </c>
      <c r="F148" s="152" t="s">
        <v>630</v>
      </c>
      <c r="G148" s="148"/>
      <c r="I148" s="153" t="str">
        <f t="shared" si="20"/>
        <v>UNE.SSJ-2.22</v>
      </c>
      <c r="J148" s="153" t="str">
        <f t="shared" si="20"/>
        <v>Столешница квадратная стола журнального</v>
      </c>
      <c r="K148" s="153" t="str">
        <f t="shared" si="20"/>
        <v>600*600*22</v>
      </c>
      <c r="L148" s="20">
        <v>1</v>
      </c>
      <c r="M148" s="20">
        <f t="shared" si="21"/>
        <v>1425</v>
      </c>
      <c r="O148" s="153" t="str">
        <f t="shared" ref="O148" si="29">A175</f>
        <v>КВАД.ОСН-36</v>
      </c>
      <c r="P148" s="20" t="str">
        <f t="shared" ref="P148" si="30">B175</f>
        <v>Основание стола квадратное</v>
      </c>
      <c r="Q148" s="20" t="str">
        <f t="shared" ref="Q148" si="31">C175</f>
        <v>360*360*8</v>
      </c>
      <c r="R148" s="20">
        <v>1</v>
      </c>
      <c r="S148" s="20">
        <f>D175</f>
        <v>4836</v>
      </c>
      <c r="U148" s="153" t="str">
        <f t="shared" si="25"/>
        <v>КВАД.ОП-4</v>
      </c>
      <c r="V148" s="20" t="str">
        <f t="shared" si="26"/>
        <v>Опора стола квадратная</v>
      </c>
      <c r="W148" s="20" t="str">
        <f t="shared" si="27"/>
        <v>100*100*411</v>
      </c>
      <c r="X148" s="20">
        <v>1</v>
      </c>
      <c r="Y148" s="20">
        <f t="shared" si="28"/>
        <v>2461</v>
      </c>
    </row>
    <row r="149" spans="1:25" ht="16.5" customHeight="1" x14ac:dyDescent="0.2">
      <c r="A149" s="16" t="s">
        <v>589</v>
      </c>
      <c r="B149" s="17" t="s">
        <v>44</v>
      </c>
      <c r="C149" s="18" t="s">
        <v>590</v>
      </c>
      <c r="D149" s="19">
        <v>13062</v>
      </c>
      <c r="E149" s="140">
        <f t="shared" si="18"/>
        <v>17894.940000000002</v>
      </c>
      <c r="F149" s="152" t="s">
        <v>631</v>
      </c>
      <c r="G149" s="148"/>
      <c r="I149" s="153" t="str">
        <f t="shared" ref="I149:K152" si="32">A170</f>
        <v>UNE.SSPRG-1.22</v>
      </c>
      <c r="J149" s="153" t="str">
        <f t="shared" si="32"/>
        <v>Столешница круглая</v>
      </c>
      <c r="K149" s="153" t="str">
        <f t="shared" si="32"/>
        <v>900*900*22</v>
      </c>
      <c r="L149" s="20">
        <v>1</v>
      </c>
      <c r="M149" s="20">
        <f t="shared" si="21"/>
        <v>2902</v>
      </c>
      <c r="O149" s="153" t="str">
        <f t="shared" ref="O149:Q150" si="33">A176</f>
        <v>КРУГ.ОСН-49</v>
      </c>
      <c r="P149" s="20" t="str">
        <f t="shared" si="33"/>
        <v>Основание стола круглое D=490*8</v>
      </c>
      <c r="Q149" s="20" t="str">
        <f t="shared" si="33"/>
        <v>490*490*8</v>
      </c>
      <c r="R149" s="20">
        <v>1</v>
      </c>
      <c r="S149" s="20">
        <f>D176</f>
        <v>7982</v>
      </c>
      <c r="U149" s="153" t="str">
        <f t="shared" ref="U149:W150" si="34">A180</f>
        <v>КРУГ.ОП-7</v>
      </c>
      <c r="V149" s="20" t="str">
        <f t="shared" si="34"/>
        <v>Опора стола круглая</v>
      </c>
      <c r="W149" s="20" t="str">
        <f t="shared" si="34"/>
        <v>D=76x711</v>
      </c>
      <c r="X149" s="20">
        <v>1</v>
      </c>
      <c r="Y149" s="20">
        <f>D180</f>
        <v>2178</v>
      </c>
    </row>
    <row r="150" spans="1:25" ht="16.5" customHeight="1" x14ac:dyDescent="0.2">
      <c r="A150" s="16" t="s">
        <v>591</v>
      </c>
      <c r="B150" s="17" t="s">
        <v>45</v>
      </c>
      <c r="C150" s="18" t="s">
        <v>590</v>
      </c>
      <c r="D150" s="19">
        <v>13981</v>
      </c>
      <c r="E150" s="140">
        <f t="shared" si="18"/>
        <v>19153.97</v>
      </c>
      <c r="F150" s="152" t="s">
        <v>632</v>
      </c>
      <c r="G150" s="148"/>
      <c r="I150" s="153" t="str">
        <f t="shared" si="32"/>
        <v>UNE.SSPRG-2.22</v>
      </c>
      <c r="J150" s="153" t="str">
        <f t="shared" si="32"/>
        <v>Столешница квадратная</v>
      </c>
      <c r="K150" s="153" t="str">
        <f t="shared" si="32"/>
        <v>900*900*22</v>
      </c>
      <c r="L150" s="20">
        <v>1</v>
      </c>
      <c r="M150" s="20">
        <f t="shared" si="21"/>
        <v>2888</v>
      </c>
      <c r="O150" s="153" t="str">
        <f t="shared" si="33"/>
        <v>КВАД.ОСН-49</v>
      </c>
      <c r="P150" s="20" t="str">
        <f t="shared" si="33"/>
        <v>Основание стола квадратное</v>
      </c>
      <c r="Q150" s="20" t="str">
        <f t="shared" si="33"/>
        <v>490*490*8</v>
      </c>
      <c r="R150" s="20">
        <v>1</v>
      </c>
      <c r="S150" s="20">
        <f>D177</f>
        <v>7951</v>
      </c>
      <c r="U150" s="153" t="str">
        <f t="shared" si="34"/>
        <v>КВАД.ОП-7</v>
      </c>
      <c r="V150" s="20" t="str">
        <f t="shared" si="34"/>
        <v>Опора стола квадратная</v>
      </c>
      <c r="W150" s="20" t="str">
        <f t="shared" si="34"/>
        <v>100x100x711</v>
      </c>
      <c r="X150" s="20">
        <v>1</v>
      </c>
      <c r="Y150" s="20">
        <f>D181</f>
        <v>3142</v>
      </c>
    </row>
    <row r="151" spans="1:25" ht="16.5" customHeight="1" x14ac:dyDescent="0.2">
      <c r="A151" s="16" t="s">
        <v>592</v>
      </c>
      <c r="B151" s="17" t="s">
        <v>46</v>
      </c>
      <c r="C151" s="18" t="s">
        <v>43</v>
      </c>
      <c r="D151" s="19">
        <v>25944</v>
      </c>
      <c r="E151" s="140">
        <f t="shared" si="18"/>
        <v>35543.280000000006</v>
      </c>
      <c r="F151" s="152" t="s">
        <v>633</v>
      </c>
      <c r="G151" s="148"/>
      <c r="I151" s="153" t="str">
        <f t="shared" si="32"/>
        <v>UNE.SSPRG-3.22</v>
      </c>
      <c r="J151" s="153" t="str">
        <f t="shared" si="32"/>
        <v>Столешница овальная</v>
      </c>
      <c r="K151" s="153" t="str">
        <f t="shared" si="32"/>
        <v>1800*900*22</v>
      </c>
      <c r="L151" s="20">
        <v>1</v>
      </c>
      <c r="M151" s="20">
        <f t="shared" si="21"/>
        <v>5624</v>
      </c>
      <c r="O151" s="153" t="str">
        <f t="shared" ref="O151:Q152" si="35">A176</f>
        <v>КРУГ.ОСН-49</v>
      </c>
      <c r="P151" s="20" t="str">
        <f t="shared" si="35"/>
        <v>Основание стола круглое D=490*8</v>
      </c>
      <c r="Q151" s="20" t="str">
        <f t="shared" si="35"/>
        <v>490*490*8</v>
      </c>
      <c r="R151" s="20">
        <v>2</v>
      </c>
      <c r="S151" s="20">
        <f>D176</f>
        <v>7982</v>
      </c>
      <c r="U151" s="153" t="str">
        <f t="shared" ref="U151:W152" si="36">A180</f>
        <v>КРУГ.ОП-7</v>
      </c>
      <c r="V151" s="20" t="str">
        <f t="shared" si="36"/>
        <v>Опора стола круглая</v>
      </c>
      <c r="W151" s="20" t="str">
        <f t="shared" si="36"/>
        <v>D=76x711</v>
      </c>
      <c r="X151" s="20">
        <v>2</v>
      </c>
      <c r="Y151" s="20">
        <f>D180</f>
        <v>2178</v>
      </c>
    </row>
    <row r="152" spans="1:25" ht="16.5" customHeight="1" x14ac:dyDescent="0.2">
      <c r="A152" s="16" t="s">
        <v>593</v>
      </c>
      <c r="B152" s="17" t="s">
        <v>47</v>
      </c>
      <c r="C152" s="18" t="s">
        <v>43</v>
      </c>
      <c r="D152" s="19">
        <v>27754</v>
      </c>
      <c r="E152" s="140">
        <f t="shared" si="18"/>
        <v>38022.980000000003</v>
      </c>
      <c r="F152" s="152" t="s">
        <v>634</v>
      </c>
      <c r="G152" s="148"/>
      <c r="I152" s="153" t="str">
        <f t="shared" si="32"/>
        <v>UNE.SSPRG-4.22</v>
      </c>
      <c r="J152" s="153" t="str">
        <f t="shared" si="32"/>
        <v>Столешница прямоугольная</v>
      </c>
      <c r="K152" s="153" t="str">
        <f t="shared" si="32"/>
        <v>1800*900*22</v>
      </c>
      <c r="L152" s="20">
        <v>1</v>
      </c>
      <c r="M152" s="20">
        <f t="shared" si="21"/>
        <v>5568</v>
      </c>
      <c r="O152" s="153" t="str">
        <f t="shared" si="35"/>
        <v>КВАД.ОСН-49</v>
      </c>
      <c r="P152" s="20" t="str">
        <f t="shared" si="35"/>
        <v>Основание стола квадратное</v>
      </c>
      <c r="Q152" s="20" t="str">
        <f t="shared" si="35"/>
        <v>490*490*8</v>
      </c>
      <c r="R152" s="20">
        <v>2</v>
      </c>
      <c r="S152" s="20">
        <f>D177</f>
        <v>7951</v>
      </c>
      <c r="U152" s="153" t="str">
        <f t="shared" si="36"/>
        <v>КВАД.ОП-7</v>
      </c>
      <c r="V152" s="20" t="str">
        <f t="shared" si="36"/>
        <v>Опора стола квадратная</v>
      </c>
      <c r="W152" s="20" t="str">
        <f t="shared" si="36"/>
        <v>100x100x711</v>
      </c>
      <c r="X152" s="20">
        <v>2</v>
      </c>
      <c r="Y152" s="20">
        <f>D181</f>
        <v>3142</v>
      </c>
    </row>
    <row r="153" spans="1:25" ht="16.5" customHeight="1" x14ac:dyDescent="0.2">
      <c r="A153" s="20" t="s">
        <v>48</v>
      </c>
      <c r="B153" s="20" t="s">
        <v>514</v>
      </c>
      <c r="C153" s="154" t="s">
        <v>50</v>
      </c>
      <c r="D153" s="20">
        <v>5463</v>
      </c>
      <c r="E153" s="140">
        <f t="shared" si="18"/>
        <v>7484.31</v>
      </c>
      <c r="F153" s="145" t="s">
        <v>515</v>
      </c>
      <c r="G153" s="148"/>
    </row>
    <row r="154" spans="1:25" ht="16.5" customHeight="1" x14ac:dyDescent="0.2">
      <c r="A154" s="20" t="s">
        <v>516</v>
      </c>
      <c r="B154" s="20" t="s">
        <v>517</v>
      </c>
      <c r="C154" s="154" t="s">
        <v>518</v>
      </c>
      <c r="D154" s="20">
        <v>920</v>
      </c>
      <c r="E154" s="140">
        <f t="shared" ref="E154:E188" si="37">D154*$G$3</f>
        <v>1260.4000000000001</v>
      </c>
      <c r="F154" s="145" t="s">
        <v>519</v>
      </c>
      <c r="G154" s="148"/>
    </row>
    <row r="155" spans="1:25" ht="16.5" customHeight="1" x14ac:dyDescent="0.2">
      <c r="A155" s="20" t="s">
        <v>51</v>
      </c>
      <c r="B155" s="20" t="s">
        <v>520</v>
      </c>
      <c r="C155" s="20" t="s">
        <v>53</v>
      </c>
      <c r="D155" s="20">
        <v>6319</v>
      </c>
      <c r="E155" s="140">
        <f t="shared" si="37"/>
        <v>8657.0300000000007</v>
      </c>
      <c r="F155" s="145" t="s">
        <v>521</v>
      </c>
      <c r="G155" s="148"/>
    </row>
    <row r="156" spans="1:25" ht="16.5" customHeight="1" x14ac:dyDescent="0.2">
      <c r="A156" s="20" t="s">
        <v>522</v>
      </c>
      <c r="B156" s="20" t="s">
        <v>523</v>
      </c>
      <c r="C156" s="20" t="s">
        <v>518</v>
      </c>
      <c r="D156" s="20">
        <v>1183</v>
      </c>
      <c r="E156" s="140">
        <f t="shared" si="37"/>
        <v>1620.71</v>
      </c>
      <c r="F156" s="145" t="s">
        <v>524</v>
      </c>
      <c r="G156" s="148"/>
    </row>
    <row r="157" spans="1:25" ht="16.5" customHeight="1" x14ac:dyDescent="0.2">
      <c r="A157" s="20" t="s">
        <v>54</v>
      </c>
      <c r="B157" s="20" t="s">
        <v>525</v>
      </c>
      <c r="C157" s="20" t="s">
        <v>56</v>
      </c>
      <c r="D157" s="20">
        <v>8079</v>
      </c>
      <c r="E157" s="140">
        <f t="shared" si="37"/>
        <v>11068.230000000001</v>
      </c>
      <c r="F157" s="145" t="s">
        <v>526</v>
      </c>
      <c r="G157" s="148"/>
    </row>
    <row r="158" spans="1:25" ht="16.5" customHeight="1" x14ac:dyDescent="0.2">
      <c r="A158" s="20" t="s">
        <v>57</v>
      </c>
      <c r="B158" s="20" t="s">
        <v>525</v>
      </c>
      <c r="C158" s="20" t="s">
        <v>58</v>
      </c>
      <c r="D158" s="20">
        <v>8957</v>
      </c>
      <c r="E158" s="140">
        <f t="shared" si="37"/>
        <v>12271.09</v>
      </c>
      <c r="F158" s="145" t="s">
        <v>527</v>
      </c>
      <c r="G158" s="148"/>
    </row>
    <row r="159" spans="1:25" ht="16.5" customHeight="1" x14ac:dyDescent="0.2">
      <c r="A159" s="20" t="s">
        <v>59</v>
      </c>
      <c r="B159" s="20" t="s">
        <v>525</v>
      </c>
      <c r="C159" s="20" t="s">
        <v>60</v>
      </c>
      <c r="D159" s="20">
        <v>9009</v>
      </c>
      <c r="E159" s="140">
        <f t="shared" si="37"/>
        <v>12342.330000000002</v>
      </c>
      <c r="F159" s="145" t="s">
        <v>528</v>
      </c>
      <c r="G159" s="148"/>
    </row>
    <row r="160" spans="1:25" ht="16.5" customHeight="1" x14ac:dyDescent="0.2">
      <c r="A160" s="20" t="s">
        <v>529</v>
      </c>
      <c r="B160" s="20" t="s">
        <v>530</v>
      </c>
      <c r="C160" s="20" t="s">
        <v>531</v>
      </c>
      <c r="D160" s="20">
        <v>22548</v>
      </c>
      <c r="E160" s="140">
        <f t="shared" si="37"/>
        <v>30890.760000000002</v>
      </c>
      <c r="F160" s="145" t="s">
        <v>532</v>
      </c>
      <c r="G160" s="148"/>
    </row>
    <row r="161" spans="1:39" ht="16.5" customHeight="1" x14ac:dyDescent="0.2">
      <c r="A161" s="20" t="s">
        <v>533</v>
      </c>
      <c r="B161" s="20" t="s">
        <v>534</v>
      </c>
      <c r="C161" s="20" t="s">
        <v>531</v>
      </c>
      <c r="D161" s="20">
        <v>9561</v>
      </c>
      <c r="E161" s="140">
        <f t="shared" si="37"/>
        <v>13098.570000000002</v>
      </c>
      <c r="F161" s="145" t="s">
        <v>535</v>
      </c>
      <c r="G161" s="148"/>
    </row>
    <row r="162" spans="1:39" ht="16.5" customHeight="1" x14ac:dyDescent="0.2">
      <c r="A162" s="20" t="s">
        <v>536</v>
      </c>
      <c r="B162" s="20" t="s">
        <v>530</v>
      </c>
      <c r="C162" s="20" t="s">
        <v>537</v>
      </c>
      <c r="D162" s="20">
        <v>17801</v>
      </c>
      <c r="E162" s="140">
        <f t="shared" si="37"/>
        <v>24387.370000000003</v>
      </c>
      <c r="F162" s="145" t="s">
        <v>538</v>
      </c>
      <c r="G162" s="148"/>
    </row>
    <row r="163" spans="1:39" ht="16.5" customHeight="1" x14ac:dyDescent="0.2">
      <c r="A163" s="20" t="s">
        <v>539</v>
      </c>
      <c r="B163" s="20" t="s">
        <v>534</v>
      </c>
      <c r="C163" s="20" t="s">
        <v>537</v>
      </c>
      <c r="D163" s="20">
        <v>5845</v>
      </c>
      <c r="E163" s="140">
        <f t="shared" si="37"/>
        <v>8007.6500000000005</v>
      </c>
      <c r="F163" s="145" t="s">
        <v>540</v>
      </c>
      <c r="G163" s="148"/>
    </row>
    <row r="164" spans="1:39" ht="16.5" customHeight="1" x14ac:dyDescent="0.2">
      <c r="A164" s="20" t="s">
        <v>541</v>
      </c>
      <c r="B164" s="20" t="s">
        <v>530</v>
      </c>
      <c r="C164" s="20" t="s">
        <v>542</v>
      </c>
      <c r="D164" s="20">
        <v>15609</v>
      </c>
      <c r="E164" s="140">
        <f t="shared" si="37"/>
        <v>21384.33</v>
      </c>
      <c r="F164" s="145" t="s">
        <v>543</v>
      </c>
      <c r="G164" s="148"/>
    </row>
    <row r="165" spans="1:39" ht="16.5" customHeight="1" x14ac:dyDescent="0.2">
      <c r="A165" s="20" t="s">
        <v>544</v>
      </c>
      <c r="B165" s="20" t="s">
        <v>534</v>
      </c>
      <c r="C165" s="20" t="s">
        <v>542</v>
      </c>
      <c r="D165" s="20">
        <v>3373</v>
      </c>
      <c r="E165" s="140">
        <f t="shared" si="37"/>
        <v>4621.01</v>
      </c>
      <c r="F165" s="145" t="s">
        <v>545</v>
      </c>
      <c r="G165" s="148"/>
    </row>
    <row r="166" spans="1:39" ht="16.5" customHeight="1" x14ac:dyDescent="0.2">
      <c r="A166" s="20" t="s">
        <v>546</v>
      </c>
      <c r="B166" s="20" t="s">
        <v>530</v>
      </c>
      <c r="C166" s="20" t="s">
        <v>547</v>
      </c>
      <c r="D166" s="20">
        <v>17032</v>
      </c>
      <c r="E166" s="140">
        <f t="shared" si="37"/>
        <v>23333.84</v>
      </c>
      <c r="F166" s="145" t="s">
        <v>548</v>
      </c>
      <c r="G166" s="148"/>
    </row>
    <row r="167" spans="1:39" ht="16.5" customHeight="1" x14ac:dyDescent="0.2">
      <c r="A167" s="20" t="s">
        <v>549</v>
      </c>
      <c r="B167" s="20" t="s">
        <v>534</v>
      </c>
      <c r="C167" s="20" t="s">
        <v>547</v>
      </c>
      <c r="D167" s="20">
        <v>4014</v>
      </c>
      <c r="E167" s="140">
        <f t="shared" si="37"/>
        <v>5499.18</v>
      </c>
      <c r="F167" s="145" t="s">
        <v>550</v>
      </c>
      <c r="G167" s="148"/>
    </row>
    <row r="168" spans="1:39" ht="16.5" customHeight="1" x14ac:dyDescent="0.2">
      <c r="A168" s="153" t="s">
        <v>594</v>
      </c>
      <c r="B168" s="20" t="s">
        <v>595</v>
      </c>
      <c r="C168" s="20" t="s">
        <v>171</v>
      </c>
      <c r="D168" s="20">
        <v>1433</v>
      </c>
      <c r="E168" s="140">
        <f t="shared" ref="E168:E169" si="38">D168*$G$3</f>
        <v>1963.2100000000003</v>
      </c>
      <c r="F168" s="149" t="s">
        <v>623</v>
      </c>
      <c r="G168" s="148"/>
    </row>
    <row r="169" spans="1:39" ht="16.5" customHeight="1" x14ac:dyDescent="0.2">
      <c r="A169" s="153" t="s">
        <v>596</v>
      </c>
      <c r="B169" s="20" t="s">
        <v>597</v>
      </c>
      <c r="C169" s="20" t="s">
        <v>171</v>
      </c>
      <c r="D169" s="20">
        <v>1425</v>
      </c>
      <c r="E169" s="140">
        <f t="shared" si="38"/>
        <v>1952.2500000000002</v>
      </c>
      <c r="F169" s="149" t="s">
        <v>624</v>
      </c>
      <c r="G169" s="148"/>
    </row>
    <row r="170" spans="1:39" ht="16.5" customHeight="1" x14ac:dyDescent="0.2">
      <c r="A170" s="153" t="s">
        <v>598</v>
      </c>
      <c r="B170" s="20" t="s">
        <v>551</v>
      </c>
      <c r="C170" s="20" t="s">
        <v>599</v>
      </c>
      <c r="D170" s="20">
        <v>2902</v>
      </c>
      <c r="E170" s="140">
        <f t="shared" si="37"/>
        <v>3975.7400000000002</v>
      </c>
      <c r="F170" s="149" t="s">
        <v>625</v>
      </c>
      <c r="G170" s="148"/>
    </row>
    <row r="171" spans="1:39" ht="16.5" customHeight="1" x14ac:dyDescent="0.2">
      <c r="A171" s="153" t="s">
        <v>600</v>
      </c>
      <c r="B171" s="20" t="s">
        <v>552</v>
      </c>
      <c r="C171" s="20" t="s">
        <v>599</v>
      </c>
      <c r="D171" s="20">
        <v>2888</v>
      </c>
      <c r="E171" s="140">
        <f t="shared" si="37"/>
        <v>3956.5600000000004</v>
      </c>
      <c r="F171" s="149" t="s">
        <v>626</v>
      </c>
      <c r="G171" s="148"/>
    </row>
    <row r="172" spans="1:39" ht="16.5" customHeight="1" x14ac:dyDescent="0.2">
      <c r="A172" s="153" t="s">
        <v>601</v>
      </c>
      <c r="B172" s="20" t="s">
        <v>553</v>
      </c>
      <c r="C172" s="20" t="s">
        <v>602</v>
      </c>
      <c r="D172" s="20">
        <v>5624</v>
      </c>
      <c r="E172" s="140">
        <f t="shared" si="37"/>
        <v>7704.880000000001</v>
      </c>
      <c r="F172" s="149" t="s">
        <v>627</v>
      </c>
      <c r="G172" s="148"/>
    </row>
    <row r="173" spans="1:39" ht="16.5" customHeight="1" thickBot="1" x14ac:dyDescent="0.25">
      <c r="A173" s="153" t="s">
        <v>603</v>
      </c>
      <c r="B173" s="20" t="s">
        <v>554</v>
      </c>
      <c r="C173" s="20" t="s">
        <v>602</v>
      </c>
      <c r="D173" s="20">
        <v>5568</v>
      </c>
      <c r="E173" s="140">
        <f t="shared" si="37"/>
        <v>7628.1600000000008</v>
      </c>
      <c r="F173" s="149" t="s">
        <v>628</v>
      </c>
      <c r="G173" s="148"/>
    </row>
    <row r="174" spans="1:39" s="163" customFormat="1" ht="14.25" x14ac:dyDescent="0.2">
      <c r="A174" s="155" t="s">
        <v>610</v>
      </c>
      <c r="B174" s="156" t="s">
        <v>611</v>
      </c>
      <c r="C174" s="157" t="s">
        <v>612</v>
      </c>
      <c r="D174" s="158">
        <v>4836</v>
      </c>
      <c r="E174" s="159">
        <f t="shared" si="37"/>
        <v>6625.3200000000006</v>
      </c>
      <c r="F174" s="160" t="s">
        <v>613</v>
      </c>
      <c r="G174" s="148"/>
      <c r="H174" s="147"/>
      <c r="I174" s="161"/>
      <c r="J174" s="161"/>
      <c r="K174" s="162"/>
      <c r="O174" s="161"/>
      <c r="P174" s="161"/>
      <c r="Q174" s="162"/>
      <c r="R174" s="164"/>
      <c r="U174" s="161"/>
      <c r="V174" s="161"/>
      <c r="W174" s="162"/>
      <c r="AA174" s="161"/>
      <c r="AB174" s="161"/>
      <c r="AC174" s="162"/>
      <c r="AG174" s="161"/>
      <c r="AH174" s="161"/>
      <c r="AI174" s="162"/>
      <c r="AM174" s="161"/>
    </row>
    <row r="175" spans="1:39" s="163" customFormat="1" ht="14.25" x14ac:dyDescent="0.2">
      <c r="A175" s="165" t="s">
        <v>614</v>
      </c>
      <c r="B175" s="166" t="s">
        <v>559</v>
      </c>
      <c r="C175" s="167" t="s">
        <v>612</v>
      </c>
      <c r="D175" s="168">
        <v>4836</v>
      </c>
      <c r="E175" s="169">
        <f t="shared" si="37"/>
        <v>6625.3200000000006</v>
      </c>
      <c r="F175" s="160" t="s">
        <v>615</v>
      </c>
      <c r="G175" s="148"/>
      <c r="H175" s="147"/>
      <c r="I175" s="161"/>
      <c r="J175" s="161"/>
      <c r="K175" s="162"/>
      <c r="O175" s="161"/>
      <c r="P175" s="161"/>
      <c r="Q175" s="162"/>
      <c r="R175" s="164"/>
      <c r="U175" s="161"/>
      <c r="V175" s="161"/>
      <c r="W175" s="162"/>
      <c r="AA175" s="161"/>
      <c r="AB175" s="161"/>
      <c r="AC175" s="162"/>
      <c r="AG175" s="161"/>
      <c r="AH175" s="161"/>
      <c r="AI175" s="162"/>
      <c r="AM175" s="161"/>
    </row>
    <row r="176" spans="1:39" ht="16.5" customHeight="1" x14ac:dyDescent="0.2">
      <c r="A176" s="153" t="s">
        <v>555</v>
      </c>
      <c r="B176" s="20" t="s">
        <v>556</v>
      </c>
      <c r="C176" s="20" t="s">
        <v>621</v>
      </c>
      <c r="D176" s="20">
        <v>7982</v>
      </c>
      <c r="E176" s="140">
        <f t="shared" si="37"/>
        <v>10935.34</v>
      </c>
      <c r="F176" s="145" t="s">
        <v>557</v>
      </c>
      <c r="G176" s="148"/>
    </row>
    <row r="177" spans="1:43" ht="16.5" customHeight="1" x14ac:dyDescent="0.2">
      <c r="A177" s="153" t="s">
        <v>558</v>
      </c>
      <c r="B177" s="20" t="s">
        <v>559</v>
      </c>
      <c r="C177" s="20" t="s">
        <v>621</v>
      </c>
      <c r="D177" s="20">
        <v>7951</v>
      </c>
      <c r="E177" s="140">
        <f t="shared" si="37"/>
        <v>10892.87</v>
      </c>
      <c r="F177" s="145" t="s">
        <v>560</v>
      </c>
      <c r="G177" s="148"/>
    </row>
    <row r="178" spans="1:43" s="163" customFormat="1" ht="14.25" x14ac:dyDescent="0.2">
      <c r="A178" s="165" t="s">
        <v>604</v>
      </c>
      <c r="B178" s="166" t="s">
        <v>562</v>
      </c>
      <c r="C178" s="167" t="s">
        <v>605</v>
      </c>
      <c r="D178" s="168">
        <v>1914</v>
      </c>
      <c r="E178" s="169">
        <f t="shared" si="37"/>
        <v>2622.1800000000003</v>
      </c>
      <c r="F178" s="160" t="s">
        <v>606</v>
      </c>
      <c r="G178" s="148"/>
      <c r="H178" s="147"/>
      <c r="I178" s="161"/>
      <c r="J178" s="161"/>
      <c r="K178" s="162"/>
      <c r="O178" s="161"/>
      <c r="P178" s="161"/>
      <c r="Q178" s="162"/>
      <c r="R178" s="164"/>
      <c r="U178" s="161"/>
      <c r="V178" s="161"/>
      <c r="W178" s="162"/>
      <c r="AA178" s="161"/>
      <c r="AB178" s="161"/>
      <c r="AC178" s="162"/>
      <c r="AG178" s="161"/>
      <c r="AH178" s="161"/>
      <c r="AI178" s="162"/>
      <c r="AM178" s="161"/>
    </row>
    <row r="179" spans="1:43" s="163" customFormat="1" ht="14.25" x14ac:dyDescent="0.2">
      <c r="A179" s="165" t="s">
        <v>607</v>
      </c>
      <c r="B179" s="166" t="s">
        <v>566</v>
      </c>
      <c r="C179" s="167" t="s">
        <v>608</v>
      </c>
      <c r="D179" s="168">
        <v>2461</v>
      </c>
      <c r="E179" s="169">
        <f t="shared" si="37"/>
        <v>3371.57</v>
      </c>
      <c r="F179" s="160" t="s">
        <v>609</v>
      </c>
      <c r="G179" s="148"/>
      <c r="H179" s="147"/>
      <c r="I179" s="161"/>
      <c r="J179" s="161"/>
      <c r="K179" s="162"/>
      <c r="O179" s="161"/>
      <c r="P179" s="161"/>
      <c r="Q179" s="162"/>
      <c r="R179" s="164"/>
      <c r="U179" s="161"/>
      <c r="V179" s="161"/>
      <c r="W179" s="162"/>
      <c r="AA179" s="161"/>
      <c r="AB179" s="161"/>
      <c r="AC179" s="162"/>
      <c r="AG179" s="161"/>
      <c r="AH179" s="161"/>
      <c r="AI179" s="162"/>
      <c r="AM179" s="161"/>
    </row>
    <row r="180" spans="1:43" ht="16.5" customHeight="1" x14ac:dyDescent="0.2">
      <c r="A180" s="153" t="s">
        <v>561</v>
      </c>
      <c r="B180" s="20" t="s">
        <v>562</v>
      </c>
      <c r="C180" s="20" t="s">
        <v>563</v>
      </c>
      <c r="D180" s="20">
        <v>2178</v>
      </c>
      <c r="E180" s="140">
        <f t="shared" si="37"/>
        <v>2983.86</v>
      </c>
      <c r="F180" s="145" t="s">
        <v>564</v>
      </c>
      <c r="G180" s="148"/>
    </row>
    <row r="181" spans="1:43" ht="16.5" customHeight="1" x14ac:dyDescent="0.2">
      <c r="A181" s="153" t="s">
        <v>565</v>
      </c>
      <c r="B181" s="20" t="s">
        <v>566</v>
      </c>
      <c r="C181" s="20" t="s">
        <v>567</v>
      </c>
      <c r="D181" s="20">
        <v>3142</v>
      </c>
      <c r="E181" s="140">
        <f t="shared" si="37"/>
        <v>4304.54</v>
      </c>
      <c r="F181" s="145" t="s">
        <v>568</v>
      </c>
      <c r="G181" s="148"/>
    </row>
    <row r="182" spans="1:43" ht="16.5" customHeight="1" thickBot="1" x14ac:dyDescent="0.25">
      <c r="A182" s="125" t="s">
        <v>581</v>
      </c>
      <c r="B182" s="126" t="s">
        <v>582</v>
      </c>
      <c r="C182" s="127" t="s">
        <v>583</v>
      </c>
      <c r="D182" s="135">
        <v>1530</v>
      </c>
      <c r="E182" s="141">
        <f t="shared" si="37"/>
        <v>2096.1000000000004</v>
      </c>
      <c r="F182" s="145" t="s">
        <v>622</v>
      </c>
      <c r="G182" s="148"/>
    </row>
    <row r="183" spans="1:43" ht="16.5" customHeight="1" thickBot="1" x14ac:dyDescent="0.25">
      <c r="A183" s="170" t="s">
        <v>569</v>
      </c>
      <c r="B183" s="170"/>
      <c r="C183" s="170"/>
      <c r="D183" s="170"/>
      <c r="E183" s="171"/>
      <c r="G183" s="148"/>
    </row>
    <row r="184" spans="1:43" ht="16.5" customHeight="1" thickBot="1" x14ac:dyDescent="0.25">
      <c r="A184" s="172" t="s">
        <v>269</v>
      </c>
      <c r="B184" s="22" t="s">
        <v>270</v>
      </c>
      <c r="C184" s="21" t="s">
        <v>271</v>
      </c>
      <c r="D184" s="22">
        <v>19827</v>
      </c>
      <c r="E184" s="142">
        <f t="shared" si="37"/>
        <v>27162.99</v>
      </c>
      <c r="F184" s="149" t="s">
        <v>570</v>
      </c>
      <c r="G184" s="148"/>
      <c r="I184" s="172" t="str">
        <f>$A$126</f>
        <v>Л.МП-2</v>
      </c>
      <c r="J184" s="22" t="str">
        <f>$B$126</f>
        <v>Модуль прямой</v>
      </c>
      <c r="K184" s="22" t="str">
        <f>$C$126</f>
        <v>1000*736*1156</v>
      </c>
      <c r="L184" s="22">
        <v>1</v>
      </c>
      <c r="M184" s="173">
        <f>$D$126</f>
        <v>9269</v>
      </c>
      <c r="O184" s="172" t="str">
        <f>$A$134</f>
        <v>Л.БУ (L)</v>
      </c>
      <c r="P184" s="22" t="str">
        <f>$B$134</f>
        <v>Боковина узкая левая</v>
      </c>
      <c r="Q184" s="22" t="str">
        <f>$C$134</f>
        <v>305*22*1159</v>
      </c>
      <c r="R184" s="22">
        <v>1</v>
      </c>
      <c r="S184" s="173">
        <f>$D$134</f>
        <v>1431</v>
      </c>
      <c r="U184" s="172" t="str">
        <f>$A$135</f>
        <v>Л.БУ (R)</v>
      </c>
      <c r="V184" s="22" t="str">
        <f>$B$135</f>
        <v>Боковина узкая правая</v>
      </c>
      <c r="W184" s="22" t="str">
        <f>$C$135</f>
        <v>305*22*1159</v>
      </c>
      <c r="X184" s="22">
        <v>1</v>
      </c>
      <c r="Y184" s="173">
        <f>$D$135</f>
        <v>1431</v>
      </c>
      <c r="AA184" s="172" t="str">
        <f>$A$146</f>
        <v>ОБ-76</v>
      </c>
      <c r="AB184" s="22" t="str">
        <f>$B$146</f>
        <v>Опора металлическая (цвет - белый)</v>
      </c>
      <c r="AC184" s="22" t="str">
        <f>$C$146</f>
        <v>D=76мм; H=728мм</v>
      </c>
      <c r="AD184" s="22">
        <v>2</v>
      </c>
      <c r="AE184" s="173">
        <f>$D$146</f>
        <v>2653</v>
      </c>
      <c r="AG184" s="172" t="str">
        <f>$A$137</f>
        <v>Л.Н-2</v>
      </c>
      <c r="AH184" s="22" t="str">
        <f>$B$137</f>
        <v>Накладка для Л.ПМ-2</v>
      </c>
      <c r="AI184" s="22" t="str">
        <f>$C$137</f>
        <v>560*321*536</v>
      </c>
      <c r="AJ184" s="22">
        <v>1</v>
      </c>
      <c r="AK184" s="173">
        <f>$D$137</f>
        <v>2390</v>
      </c>
    </row>
    <row r="185" spans="1:43" ht="16.5" customHeight="1" thickBot="1" x14ac:dyDescent="0.25">
      <c r="A185" s="174" t="s">
        <v>272</v>
      </c>
      <c r="B185" s="20" t="s">
        <v>273</v>
      </c>
      <c r="C185" s="137" t="s">
        <v>571</v>
      </c>
      <c r="D185" s="20">
        <v>67347</v>
      </c>
      <c r="E185" s="140">
        <f t="shared" si="37"/>
        <v>92265.390000000014</v>
      </c>
      <c r="F185" s="149" t="s">
        <v>572</v>
      </c>
      <c r="G185" s="148"/>
      <c r="I185" s="174" t="str">
        <f>$A$126</f>
        <v>Л.МП-2</v>
      </c>
      <c r="J185" s="20" t="str">
        <f>$B$126</f>
        <v>Модуль прямой</v>
      </c>
      <c r="K185" s="20" t="str">
        <f>$C$126</f>
        <v>1000*736*1156</v>
      </c>
      <c r="L185" s="20">
        <v>3</v>
      </c>
      <c r="M185" s="175">
        <f>$D$126</f>
        <v>9269</v>
      </c>
      <c r="O185" s="174" t="str">
        <f>$A$131</f>
        <v>Л.УМ-1 (R)</v>
      </c>
      <c r="P185" s="20" t="str">
        <f>$B$131</f>
        <v>Угловой модуль правый</v>
      </c>
      <c r="Q185" s="20" t="str">
        <f>$C$131</f>
        <v>736*736*1156</v>
      </c>
      <c r="R185" s="20">
        <v>1</v>
      </c>
      <c r="S185" s="175">
        <f>$E$131</f>
        <v>18538.84</v>
      </c>
      <c r="U185" s="174" t="str">
        <f>$A$130</f>
        <v>Л.УМ-1 (L)</v>
      </c>
      <c r="V185" s="20" t="str">
        <f>$B$130</f>
        <v>Угловой модуль левый</v>
      </c>
      <c r="W185" s="20" t="str">
        <f>$C$130</f>
        <v>736*736*1156</v>
      </c>
      <c r="X185" s="20">
        <v>1</v>
      </c>
      <c r="Y185" s="175">
        <f>$E$130</f>
        <v>18538.84</v>
      </c>
      <c r="AA185" s="176" t="str">
        <f>$A$146</f>
        <v>ОБ-76</v>
      </c>
      <c r="AB185" s="25" t="str">
        <f>$B$146</f>
        <v>Опора металлическая (цвет - белый)</v>
      </c>
      <c r="AC185" s="25" t="str">
        <f>$C$146</f>
        <v>D=76мм; H=728мм</v>
      </c>
      <c r="AD185" s="25">
        <v>2</v>
      </c>
      <c r="AE185" s="177">
        <f>$D$146</f>
        <v>2653</v>
      </c>
      <c r="AG185" s="178" t="str">
        <f>$A$137</f>
        <v>Л.Н-2</v>
      </c>
      <c r="AH185" s="179" t="str">
        <f>$B$137</f>
        <v>Накладка для Л.ПМ-2</v>
      </c>
      <c r="AI185" s="179" t="str">
        <f>$C$137</f>
        <v>560*321*536</v>
      </c>
      <c r="AJ185" s="179">
        <v>3</v>
      </c>
      <c r="AK185" s="180">
        <f>$D$137</f>
        <v>2390</v>
      </c>
    </row>
    <row r="186" spans="1:43" ht="16.5" customHeight="1" thickBot="1" x14ac:dyDescent="0.25">
      <c r="A186" s="174" t="s">
        <v>275</v>
      </c>
      <c r="B186" s="20" t="s">
        <v>276</v>
      </c>
      <c r="C186" s="137" t="s">
        <v>573</v>
      </c>
      <c r="D186" s="20">
        <v>27297</v>
      </c>
      <c r="E186" s="140">
        <f t="shared" si="37"/>
        <v>37396.89</v>
      </c>
      <c r="F186" s="149" t="s">
        <v>574</v>
      </c>
      <c r="G186" s="148"/>
      <c r="I186" s="174" t="str">
        <f>$A$126</f>
        <v>Л.МП-2</v>
      </c>
      <c r="J186" s="20" t="str">
        <f>$B$126</f>
        <v>Модуль прямой</v>
      </c>
      <c r="K186" s="20" t="str">
        <f>$C$126</f>
        <v>1000*736*1156</v>
      </c>
      <c r="L186" s="20">
        <v>2</v>
      </c>
      <c r="M186" s="175">
        <f>$D$126</f>
        <v>9269</v>
      </c>
      <c r="O186" s="174" t="str">
        <f>$A$132</f>
        <v>Л.Б (L)</v>
      </c>
      <c r="P186" s="20" t="str">
        <f>$B$132</f>
        <v>Боковина левая</v>
      </c>
      <c r="Q186" s="20" t="str">
        <f>$C$132</f>
        <v>741*22*1159</v>
      </c>
      <c r="R186" s="20">
        <v>1</v>
      </c>
      <c r="S186" s="175">
        <f>$D$132</f>
        <v>3053</v>
      </c>
      <c r="U186" s="174" t="str">
        <f>$A$133</f>
        <v>Л.Б (R)</v>
      </c>
      <c r="V186" s="20" t="str">
        <f>$B$133</f>
        <v>Боковина правая</v>
      </c>
      <c r="W186" s="20" t="str">
        <f>$C$133</f>
        <v>741*22*1159</v>
      </c>
      <c r="X186" s="20">
        <v>1</v>
      </c>
      <c r="Y186" s="175">
        <f>$D$133</f>
        <v>3053</v>
      </c>
      <c r="AA186" s="174" t="str">
        <f>$A$146</f>
        <v>ОБ-76</v>
      </c>
      <c r="AB186" s="20" t="str">
        <f>$B$146</f>
        <v>Опора металлическая (цвет - белый)</v>
      </c>
      <c r="AC186" s="20" t="str">
        <f>$C$146</f>
        <v>D=76мм; H=728мм</v>
      </c>
      <c r="AD186" s="20">
        <v>1</v>
      </c>
      <c r="AE186" s="175">
        <f>$D$146</f>
        <v>2653</v>
      </c>
    </row>
    <row r="187" spans="1:43" ht="16.5" customHeight="1" thickBot="1" x14ac:dyDescent="0.25">
      <c r="A187" s="174" t="s">
        <v>278</v>
      </c>
      <c r="B187" s="20" t="s">
        <v>279</v>
      </c>
      <c r="C187" s="137" t="s">
        <v>280</v>
      </c>
      <c r="D187" s="20">
        <v>40829</v>
      </c>
      <c r="E187" s="140">
        <f t="shared" si="37"/>
        <v>55935.73</v>
      </c>
      <c r="F187" s="149" t="s">
        <v>575</v>
      </c>
      <c r="G187" s="148"/>
      <c r="I187" s="174" t="str">
        <f>$A$126</f>
        <v>Л.МП-2</v>
      </c>
      <c r="J187" s="20" t="str">
        <f>$B$126</f>
        <v>Модуль прямой</v>
      </c>
      <c r="K187" s="20" t="str">
        <f>$C$126</f>
        <v>1000*736*1156</v>
      </c>
      <c r="L187" s="20">
        <v>2</v>
      </c>
      <c r="M187" s="175">
        <f>$D$126</f>
        <v>9269</v>
      </c>
      <c r="O187" s="174" t="str">
        <f>$A$132</f>
        <v>Л.Б (L)</v>
      </c>
      <c r="P187" s="20" t="str">
        <f>$B$132</f>
        <v>Боковина левая</v>
      </c>
      <c r="Q187" s="20" t="str">
        <f>$C$132</f>
        <v>741*22*1159</v>
      </c>
      <c r="R187" s="20">
        <v>1</v>
      </c>
      <c r="S187" s="175">
        <f>$D$132</f>
        <v>3053</v>
      </c>
      <c r="U187" s="174" t="str">
        <f>$A$133</f>
        <v>Л.Б (R)</v>
      </c>
      <c r="V187" s="20" t="str">
        <f>$B$133</f>
        <v>Боковина правая</v>
      </c>
      <c r="W187" s="20" t="str">
        <f>$C$133</f>
        <v>741*22*1159</v>
      </c>
      <c r="X187" s="20">
        <v>1</v>
      </c>
      <c r="Y187" s="175">
        <f>$D$133</f>
        <v>3053</v>
      </c>
      <c r="AA187" s="174" t="str">
        <f>$A$130</f>
        <v>Л.УМ-1 (L)</v>
      </c>
      <c r="AB187" s="20" t="str">
        <f>$B$130</f>
        <v>Угловой модуль левый</v>
      </c>
      <c r="AC187" s="20" t="str">
        <f>$C$130</f>
        <v>736*736*1156</v>
      </c>
      <c r="AD187" s="20">
        <v>1</v>
      </c>
      <c r="AE187" s="175">
        <f>$E$130</f>
        <v>18538.84</v>
      </c>
      <c r="AG187" s="172" t="str">
        <f>$A$146</f>
        <v>ОБ-76</v>
      </c>
      <c r="AH187" s="22" t="str">
        <f>$B$146</f>
        <v>Опора металлическая (цвет - белый)</v>
      </c>
      <c r="AI187" s="22" t="str">
        <f>$C$146</f>
        <v>D=76мм; H=728мм</v>
      </c>
      <c r="AJ187" s="22">
        <v>1</v>
      </c>
      <c r="AK187" s="173">
        <f>$D$146</f>
        <v>2653</v>
      </c>
    </row>
    <row r="188" spans="1:43" ht="16.5" customHeight="1" thickBot="1" x14ac:dyDescent="0.25">
      <c r="A188" s="174" t="s">
        <v>281</v>
      </c>
      <c r="B188" s="20" t="s">
        <v>282</v>
      </c>
      <c r="C188" s="137" t="s">
        <v>283</v>
      </c>
      <c r="D188" s="20">
        <v>44501</v>
      </c>
      <c r="E188" s="140">
        <f t="shared" si="37"/>
        <v>60966.37</v>
      </c>
      <c r="F188" s="149" t="s">
        <v>576</v>
      </c>
      <c r="G188" s="148"/>
      <c r="I188" s="174" t="str">
        <f>$A$126</f>
        <v>Л.МП-2</v>
      </c>
      <c r="J188" s="20" t="str">
        <f>$B$126</f>
        <v>Модуль прямой</v>
      </c>
      <c r="K188" s="20" t="str">
        <f>$C$126</f>
        <v>1000*736*1156</v>
      </c>
      <c r="L188" s="20">
        <v>1</v>
      </c>
      <c r="M188" s="175">
        <f>$D$126</f>
        <v>9269</v>
      </c>
      <c r="O188" s="172" t="str">
        <f>$A$134</f>
        <v>Л.БУ (L)</v>
      </c>
      <c r="P188" s="22" t="str">
        <f>$B$134</f>
        <v>Боковина узкая левая</v>
      </c>
      <c r="Q188" s="22" t="str">
        <f>$C$134</f>
        <v>305*22*1159</v>
      </c>
      <c r="R188" s="22">
        <v>1</v>
      </c>
      <c r="S188" s="173">
        <f>$D$134</f>
        <v>1431</v>
      </c>
      <c r="U188" s="172" t="str">
        <f>$A$135</f>
        <v>Л.БУ (R)</v>
      </c>
      <c r="V188" s="22" t="str">
        <f>$B$135</f>
        <v>Боковина узкая правая</v>
      </c>
      <c r="W188" s="22" t="str">
        <f>$C$135</f>
        <v>305*22*1159</v>
      </c>
      <c r="X188" s="22">
        <v>1</v>
      </c>
      <c r="Y188" s="173">
        <f>$D$135</f>
        <v>1431</v>
      </c>
      <c r="AA188" s="174" t="str">
        <f>$A$131</f>
        <v>Л.УМ-1 (R)</v>
      </c>
      <c r="AB188" s="20" t="str">
        <f>$B$131</f>
        <v>Угловой модуль правый</v>
      </c>
      <c r="AC188" s="20" t="str">
        <f>$C$131</f>
        <v>736*736*1156</v>
      </c>
      <c r="AD188" s="20">
        <v>1</v>
      </c>
      <c r="AE188" s="175">
        <f>$E$131</f>
        <v>18538.84</v>
      </c>
      <c r="AG188" s="174" t="str">
        <f>$A$130</f>
        <v>Л.УМ-1 (L)</v>
      </c>
      <c r="AH188" s="20" t="str">
        <f>$B$130</f>
        <v>Угловой модуль левый</v>
      </c>
      <c r="AI188" s="20" t="str">
        <f>$C$130</f>
        <v>736*736*1156</v>
      </c>
      <c r="AJ188" s="20">
        <v>1</v>
      </c>
      <c r="AK188" s="175">
        <f>$E$130</f>
        <v>18538.84</v>
      </c>
      <c r="AM188" s="178" t="str">
        <f>$A$146</f>
        <v>ОБ-76</v>
      </c>
      <c r="AN188" s="179" t="str">
        <f>$B$146</f>
        <v>Опора металлическая (цвет - белый)</v>
      </c>
      <c r="AO188" s="179" t="str">
        <f>$C$146</f>
        <v>D=76мм; H=728мм</v>
      </c>
      <c r="AP188" s="179">
        <v>2</v>
      </c>
      <c r="AQ188" s="180">
        <f>$D$146</f>
        <v>2653</v>
      </c>
    </row>
    <row r="189" spans="1:43" ht="16.5" customHeight="1" thickBot="1" x14ac:dyDescent="0.25">
      <c r="A189" s="176" t="s">
        <v>577</v>
      </c>
      <c r="B189" s="25" t="s">
        <v>578</v>
      </c>
      <c r="C189" s="138" t="s">
        <v>579</v>
      </c>
      <c r="D189" s="25">
        <v>32579</v>
      </c>
      <c r="E189" s="143">
        <f t="shared" ref="E189" si="39">D189*$G$3</f>
        <v>44633.23</v>
      </c>
      <c r="F189" s="149" t="s">
        <v>580</v>
      </c>
      <c r="G189" s="148"/>
      <c r="I189" s="176" t="str">
        <f>$A$131</f>
        <v>Л.УМ-1 (R)</v>
      </c>
      <c r="J189" s="25" t="str">
        <f>$B$131</f>
        <v>Угловой модуль правый</v>
      </c>
      <c r="K189" s="25" t="str">
        <f>$C$131</f>
        <v>736*736*1156</v>
      </c>
      <c r="L189" s="25">
        <v>1</v>
      </c>
      <c r="M189" s="177">
        <f>$E$131</f>
        <v>18538.84</v>
      </c>
      <c r="O189" s="176" t="str">
        <f>$A$130</f>
        <v>Л.УМ-1 (L)</v>
      </c>
      <c r="P189" s="25" t="str">
        <f>$B$130</f>
        <v>Угловой модуль левый</v>
      </c>
      <c r="Q189" s="25" t="str">
        <f>$C$130</f>
        <v>736*736*1156</v>
      </c>
      <c r="R189" s="25">
        <v>1</v>
      </c>
      <c r="S189" s="177">
        <f>$E$130</f>
        <v>18538.84</v>
      </c>
      <c r="U189" s="176" t="str">
        <f>$A$134</f>
        <v>Л.БУ (L)</v>
      </c>
      <c r="V189" s="25" t="str">
        <f>$B$134</f>
        <v>Боковина узкая левая</v>
      </c>
      <c r="W189" s="25" t="str">
        <f>$C$134</f>
        <v>305*22*1159</v>
      </c>
      <c r="X189" s="25">
        <v>1</v>
      </c>
      <c r="Y189" s="177">
        <f>$D$134</f>
        <v>1431</v>
      </c>
      <c r="AA189" s="176" t="str">
        <f>$A$135</f>
        <v>Л.БУ (R)</v>
      </c>
      <c r="AB189" s="25" t="str">
        <f>$B$135</f>
        <v>Боковина узкая правая</v>
      </c>
      <c r="AC189" s="25" t="str">
        <f>$C$135</f>
        <v>305*22*1159</v>
      </c>
      <c r="AD189" s="25">
        <v>1</v>
      </c>
      <c r="AE189" s="177">
        <f>$D$135</f>
        <v>1431</v>
      </c>
      <c r="AG189" s="176" t="str">
        <f>$A$146</f>
        <v>ОБ-76</v>
      </c>
      <c r="AH189" s="25" t="str">
        <f>$B$146</f>
        <v>Опора металлическая (цвет - белый)</v>
      </c>
      <c r="AI189" s="25" t="str">
        <f>$C$146</f>
        <v>D=76мм; H=728мм</v>
      </c>
      <c r="AJ189" s="25">
        <v>1</v>
      </c>
      <c r="AK189" s="177">
        <f>$D$146</f>
        <v>2653</v>
      </c>
    </row>
    <row r="190" spans="1:43" ht="16.5" customHeight="1" x14ac:dyDescent="0.2">
      <c r="C190" s="26"/>
      <c r="G190" s="148"/>
    </row>
    <row r="191" spans="1:43" ht="16.5" customHeight="1" x14ac:dyDescent="0.2">
      <c r="C191" s="26"/>
      <c r="G191" s="148"/>
    </row>
    <row r="192" spans="1:43" ht="16.5" customHeight="1" x14ac:dyDescent="0.2">
      <c r="C192" s="26"/>
      <c r="G192" s="148"/>
    </row>
    <row r="193" spans="3:7" ht="16.5" customHeight="1" x14ac:dyDescent="0.2">
      <c r="C193" s="26"/>
      <c r="G193" s="148"/>
    </row>
    <row r="194" spans="3:7" ht="16.5" customHeight="1" x14ac:dyDescent="0.2">
      <c r="C194" s="26"/>
      <c r="G194" s="148"/>
    </row>
    <row r="195" spans="3:7" ht="16.5" customHeight="1" x14ac:dyDescent="0.2">
      <c r="C195" s="26"/>
      <c r="G195" s="148"/>
    </row>
  </sheetData>
  <sheetProtection selectLockedCells="1" selectUnlockedCells="1"/>
  <pageMargins left="0.39370078740157499" right="0.39370078740157499" top="0.39370078740157499" bottom="0.39370078740157499" header="0.78740157480314998" footer="0.78740157480314998"/>
  <pageSetup paperSize="9" scale="67" firstPageNumber="0" orientation="portrait" useFirstPageNumber="1" horizontalDpi="300" verticalDpi="300" r:id="rId1"/>
  <headerFooter alignWithMargins="0"/>
  <colBreaks count="1" manualBreakCount="1">
    <brk id="5" max="1048575" man="1"/>
  </colBreaks>
  <ignoredErrors>
    <ignoredError sqref="F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Столы, Тумбы</vt:lpstr>
      <vt:lpstr>Шкафы</vt:lpstr>
      <vt:lpstr>Аксессуары</vt:lpstr>
      <vt:lpstr>Ресепшн</vt:lpstr>
      <vt:lpstr>Ресепшен наборы</vt:lpstr>
      <vt:lpstr>Сборные элементы</vt:lpstr>
      <vt:lpstr>Таблица</vt:lpstr>
      <vt:lpstr>Аксессуары!Область_печати</vt:lpstr>
      <vt:lpstr>Таблица!Область_печати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</dc:creator>
  <cp:lastModifiedBy>Михаил Корнеев</cp:lastModifiedBy>
  <cp:lastPrinted>2024-07-03T07:15:00Z</cp:lastPrinted>
  <dcterms:created xsi:type="dcterms:W3CDTF">2016-12-14T07:51:00Z</dcterms:created>
  <dcterms:modified xsi:type="dcterms:W3CDTF">2026-05-13T08:23:28Z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5EDA15FE50E448239701F7F5F074FDB7_12</vt:lpwstr>
  </property>
  <property fmtid="{D5CDD505-2E9C-101B-9397-08002B2CF9AE}" pid="3" name="KSOProductBuildVer">
    <vt:lpwstr>1049-12.2.0.19307</vt:lpwstr>
  </property>
</Properties>
</file>